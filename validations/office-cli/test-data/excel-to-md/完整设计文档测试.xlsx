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总览" sheetId="1" state="visible" r:id="rId1"/>
    <sheet name="UI设计规格" sheetId="2" state="visible" r:id="rId2"/>
    <sheet name="数据与公式" sheetId="3" state="visible" r:id="rId3"/>
    <sheet name="检查清单" sheetId="4" state="visible" r:id="rId4"/>
    <sheet name="图片与附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b val="1"/>
      <color rgb="001F3864"/>
      <sz val="24"/>
    </font>
    <font>
      <b val="1"/>
      <color rgb="002E5496"/>
      <sz val="16"/>
    </font>
    <font>
      <b val="1"/>
    </font>
    <font>
      <b val="1"/>
      <color rgb="00FFFFFF"/>
    </font>
    <font>
      <strike val="1"/>
      <color rgb="00808080"/>
    </font>
    <font>
      <b val="1"/>
      <strike val="1"/>
      <color rgb="00FF0000"/>
    </font>
    <font>
      <b val="1"/>
      <color rgb="00008000"/>
    </font>
    <font>
      <b val="1"/>
      <color rgb="000563C1"/>
      <u val="single"/>
    </font>
    <font>
      <b val="1"/>
      <color rgb="000000FF"/>
    </font>
    <font>
      <b val="1"/>
      <color rgb="00000000"/>
    </font>
    <font>
      <i val="1"/>
    </font>
    <font>
      <strike val="1"/>
    </font>
    <font>
      <color rgb="00FF0000"/>
    </font>
    <font>
      <color rgb="000000FF"/>
    </font>
    <font>
      <color rgb="00008000"/>
    </font>
    <font>
      <color rgb="00808080"/>
    </font>
    <font/>
    <font>
      <u val="single"/>
    </font>
    <font>
      <b val="1"/>
      <color rgb="00FF0000"/>
    </font>
    <font>
      <color rgb="000563C1"/>
      <u val="single"/>
    </font>
    <font>
      <b val="1"/>
      <i val="1"/>
      <u val="single"/>
    </font>
    <font>
      <sz val="24"/>
    </font>
    <font>
      <sz val="18"/>
    </font>
    <font>
      <sz val="14"/>
    </font>
    <font>
      <sz val="12"/>
    </font>
    <font>
      <sz val="11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BDD7EE"/>
        <bgColor rgb="00BDD7EE"/>
      </patternFill>
    </fill>
    <fill>
      <patternFill patternType="solid">
        <fgColor rgb="002E5496"/>
        <b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0" fillId="3" borderId="0" pivotButton="0" quotePrefix="0" xfId="0"/>
    <xf numFmtId="0" fontId="27" fillId="2" borderId="0" applyAlignment="1" pivotButton="0" quotePrefix="0" xfId="0">
      <alignment horizontal="center"/>
    </xf>
    <xf numFmtId="0" fontId="4" fillId="5" borderId="0" pivotButton="0" quotePrefix="0" xfId="0"/>
  </cellXfs>
  <cellStyles count="1">
    <cellStyle name="Normal" xfId="0" builtinId="0" hidden="0"/>
  </cellStyles>
  <dxfs count="6">
    <dxf>
      <font>
        <b val="1"/>
        <color rgb="00008000"/>
      </font>
    </dxf>
    <dxf>
      <font>
        <strike val="1"/>
        <color rgb="00FF0000"/>
      </font>
    </dxf>
    <dxf>
      <fill>
        <patternFill patternType="solid">
          <fgColor rgb="00FFFF00"/>
          <bgColor rgb="00FFFF00"/>
        </patternFill>
      </fill>
    </dxf>
    <dxf>
      <font>
        <b val="1"/>
        <color rgb="00FF0000"/>
      </font>
    </dxf>
    <dxf>
      <font>
        <color rgb="00ED7D31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30000</colOff>
      <row>9</row>
      <rowOff>30000</rowOff>
    </from>
    <ext cx="2400000" cy="1100000"/>
    <sp>
      <nvSpPr>
        <cNvPr id="101" name="Callout 101" descr="重点关注：高优先级项必须全部通过"/>
        <cNvSpPr/>
      </nvSpPr>
      <spPr>
        <a:prstGeom prst="wedgeRectCallout"/>
        <a:solidFill>
          <a:srgbClr val="FFFF00"/>
        </a:solidFill>
        <a:ln w="15000">
          <a:solidFill>
            <a:srgbClr val="FF0000"/>
          </a:solidFill>
          <a:prstDash val="solid"/>
        </a:ln>
      </spPr>
      <txBody>
        <a:bodyPr/>
        <a:p>
          <a:pPr>
            <a:defRPr sz="1100" b="1">
              <a:solidFill>
                <a:srgbClr val="FF0000"/>
              </a:solidFill>
              <a:latin typeface="Arial"/>
            </a:defRPr>
          </a:pPr>
          <a:r>
            <a:rPr sz="1100" b="1">
              <a:solidFill>
                <a:srgbClr val="FF0000"/>
              </a:solidFill>
              <a:latin typeface="Arial"/>
            </a:rPr>
            <a:t>重点关注：高优先级项必须全部通过</a:t>
          </a:r>
        </a:p>
      </txBody>
    </sp>
    <clientData/>
  </oneCellAnchor>
  <oneCellAnchor>
    <from>
      <col>7</col>
      <colOff>30000</colOff>
      <row>29</row>
      <rowOff>30000</rowOff>
    </from>
    <ext cx="2400000" cy="1100000"/>
    <sp>
      <nvSpPr>
        <cNvPr id="102" name="Callout 102" descr="需复核：安全类检查项"/>
        <cNvSpPr/>
      </nvSpPr>
      <spPr>
        <a:prstGeom prst="wedgeRectCallout"/>
        <a:solidFill>
          <a:srgbClr val="FFFF00"/>
        </a:solidFill>
        <a:ln w="15000">
          <a:solidFill>
            <a:srgbClr val="FF0000"/>
          </a:solidFill>
          <a:prstDash val="solid"/>
        </a:ln>
      </spPr>
      <txBody>
        <a:bodyPr/>
        <a:p>
          <a:pPr>
            <a:defRPr sz="1100" b="1">
              <a:solidFill>
                <a:srgbClr val="FF0000"/>
              </a:solidFill>
              <a:latin typeface="Arial"/>
            </a:defRPr>
          </a:pPr>
          <a:r>
            <a:rPr sz="1100" b="1">
              <a:solidFill>
                <a:srgbClr val="FF0000"/>
              </a:solidFill>
              <a:latin typeface="Arial"/>
            </a:rPr>
            <a:t>需复核：安全类检查项</a:t>
          </a:r>
        </a:p>
      </txBody>
    </sp>
    <clientData/>
  </oneCellAnchor>
  <oneCellAnchor>
    <from>
      <col>7</col>
      <colOff>30000</colOff>
      <row>55</row>
      <rowOff>30000</rowOff>
    </from>
    <ext cx="2400000" cy="1100000"/>
    <sp>
      <nvSpPr>
        <cNvPr id="103" name="Callout 103" descr="提示：待检查项请尽快确认"/>
        <cNvSpPr/>
      </nvSpPr>
      <spPr>
        <a:prstGeom prst="wedgeRectCallout"/>
        <a:solidFill>
          <a:srgbClr val="FFFF00"/>
        </a:solidFill>
        <a:ln w="15000">
          <a:solidFill>
            <a:srgbClr val="FF0000"/>
          </a:solidFill>
          <a:prstDash val="solid"/>
        </a:ln>
      </spPr>
      <txBody>
        <a:bodyPr/>
        <a:p>
          <a:pPr>
            <a:defRPr sz="1100" b="1">
              <a:solidFill>
                <a:srgbClr val="FF0000"/>
              </a:solidFill>
              <a:latin typeface="Arial"/>
            </a:defRPr>
          </a:pPr>
          <a:r>
            <a:rPr sz="1100" b="1">
              <a:solidFill>
                <a:srgbClr val="FF0000"/>
              </a:solidFill>
              <a:latin typeface="Arial"/>
            </a:rPr>
            <a:t>提示：待检查项请尽快确认</a:t>
          </a:r>
        </a:p>
      </txBody>
    </sp>
    <clientData/>
  </oneCellAnchor>
  <oneCellAnchor>
    <from>
      <col>0</col>
      <colOff>15000</colOff>
      <row>14</row>
      <rowOff>15000</rowOff>
    </from>
    <ext cx="1600000" cy="520000"/>
    <sp>
      <nvSpPr>
        <cNvPr id="104" name="RedBox 104"/>
        <cNvSpPr/>
      </nvSpPr>
      <spPr>
        <a:prstGeom prst="rect"/>
        <a:noFill/>
        <a:ln w="25000">
          <a:solidFill>
            <a:srgbClr val="FF0000"/>
          </a:solidFill>
          <a:prstDash val="solid"/>
        </a:ln>
      </spPr>
    </sp>
    <clientData/>
  </oneCellAnchor>
  <oneCellAnchor>
    <from>
      <col>0</col>
      <colOff>15000</colOff>
      <row>49</row>
      <rowOff>15000</rowOff>
    </from>
    <ext cx="1600000" cy="520000"/>
    <sp>
      <nvSpPr>
        <cNvPr id="105" name="RedBox 105"/>
        <cNvSpPr/>
      </nvSpPr>
      <spPr>
        <a:prstGeom prst="rect"/>
        <a:noFill/>
        <a:ln w="25000">
          <a:solidFill>
            <a:srgbClr val="FF0000"/>
          </a:solidFill>
          <a:prstDash val="solid"/>
        </a:ln>
      </spPr>
    </sp>
    <clientData/>
  </oneCellAnchor>
  <oneCellAnchor>
    <from>
      <col>8</col>
      <colOff>0</colOff>
      <row>1</row>
      <rowOff>0</rowOff>
    </from>
    <ext cx="2857500" cy="762000"/>
    <pic>
      <nvPicPr>
        <cNvPr id="1" name="质量检查清单标题横幅" descr="质量检查清单标题横幅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096000" cy="3810000"/>
    <pic>
      <nvPicPr>
        <cNvPr id="1" name="UI 设计稿 - 登录页面线框图(640x400)" descr="UI 设计稿 - 登录页面线框图(640x400)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6096000" cy="3810000"/>
    <pic>
      <nvPicPr>
        <cNvPr id="2" name="UI 设计稿副本 - 用于图片多张插入验证" descr="UI 设计稿副本 - 用于图片多张插入验证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6096000" cy="3810000"/>
    <pic>
      <nvPicPr>
        <cNvPr id="3" name="架构图 - 系统分层结构(640x400)" descr="架构图 - 系统分层结构(640x400)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6096000" cy="3810000"/>
    <pic>
      <nvPicPr>
        <cNvPr id="4" name="流程图 - 用户操作流程(640x400)" descr="流程图 - 用户操作流程(640x400)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ohenger/ai-tool-lab" TargetMode="External" Id="rId1" /><Relationship Type="http://schemas.openxmlformats.org/officeDocument/2006/relationships/hyperlink" Target="https://github.com/Taohenger/ai-tool-lab" TargetMode="External" Id="rId2" /><Relationship Type="http://schemas.openxmlformats.org/officeDocument/2006/relationships/hyperlink" Target="https://github.com/Taohenger/ai-tool-lab" TargetMode="External" Id="rId3" /><Relationship Type="http://schemas.openxmlformats.org/officeDocument/2006/relationships/hyperlink" Target="https://github.com/Taohenger/ai-tool-lab" TargetMode="External" Id="rId4" /><Relationship Type="http://schemas.openxmlformats.org/officeDocument/2006/relationships/hyperlink" Target="https://github.com/Taohenger/ai-tool-lab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6" customWidth="1" min="3" max="3"/>
  </cols>
  <sheetData>
    <row r="1">
      <c r="A1" s="1" t="inlineStr">
        <is>
          <t>完整设计文档 — OfficeCLI 全功能验证</t>
        </is>
      </c>
    </row>
    <row r="3">
      <c r="A3" s="2" t="inlineStr">
        <is>
          <t>1. 文档信息</t>
        </is>
      </c>
    </row>
    <row r="4">
      <c r="A4" s="3" t="inlineStr">
        <is>
          <t>文档版本</t>
        </is>
      </c>
      <c r="B4" t="inlineStr">
        <is>
          <t>V3.0</t>
        </is>
      </c>
    </row>
    <row r="5">
      <c r="A5" s="3" t="inlineStr">
        <is>
          <t>作者</t>
        </is>
      </c>
      <c r="B5" t="inlineStr">
        <is>
          <t>张三</t>
        </is>
      </c>
    </row>
    <row r="6">
      <c r="A6" s="3" t="inlineStr">
        <is>
          <t>创建日期</t>
        </is>
      </c>
      <c r="B6" t="inlineStr">
        <is>
          <t>2026-08-10</t>
        </is>
      </c>
    </row>
    <row r="7">
      <c r="A7" s="3" t="inlineStr">
        <is>
          <t>审核人</t>
        </is>
      </c>
      <c r="B7" t="inlineStr">
        <is>
          <t>李四</t>
        </is>
      </c>
    </row>
    <row r="8">
      <c r="A8" s="3" t="inlineStr">
        <is>
          <t>项目名称</t>
        </is>
      </c>
      <c r="B8" t="inlineStr">
        <is>
          <t>OfficeCLI 全功能验证</t>
        </is>
      </c>
    </row>
    <row r="9">
      <c r="A9" s="3" t="inlineStr">
        <is>
          <t>文档状态</t>
        </is>
      </c>
      <c r="B9" t="inlineStr">
        <is>
          <t>正式发布</t>
        </is>
      </c>
    </row>
    <row r="10">
      <c r="A10" s="3" t="inlineStr">
        <is>
          <t>保密级别</t>
        </is>
      </c>
      <c r="B10" t="inlineStr">
        <is>
          <t>内部</t>
        </is>
      </c>
    </row>
    <row r="12">
      <c r="A12" s="2" t="inlineStr">
        <is>
          <t>2. 修订记录</t>
        </is>
      </c>
    </row>
    <row r="13">
      <c r="A13" s="4" t="inlineStr">
        <is>
          <t>版本</t>
        </is>
      </c>
      <c r="B13" s="4" t="inlineStr">
        <is>
          <t>日期</t>
        </is>
      </c>
      <c r="C13" s="4" t="inlineStr">
        <is>
          <t>修改者</t>
        </is>
      </c>
      <c r="D13" s="4" t="inlineStr">
        <is>
          <t>修改内容</t>
        </is>
      </c>
    </row>
    <row r="14">
      <c r="A14" s="5" t="inlineStr">
        <is>
          <t>V0.9</t>
        </is>
      </c>
      <c r="B14" s="5" t="inlineStr">
        <is>
          <t>2025-02-01</t>
        </is>
      </c>
      <c r="C14" s="5" t="inlineStr">
        <is>
          <t>张三</t>
        </is>
      </c>
      <c r="D14" s="5" t="inlineStr">
        <is>
          <t>草稿(已废弃)</t>
        </is>
      </c>
    </row>
    <row r="15">
      <c r="A15" t="inlineStr">
        <is>
          <t>V1.0</t>
        </is>
      </c>
      <c r="B15" t="inlineStr">
        <is>
          <t>2025-03-01</t>
        </is>
      </c>
      <c r="C15" t="inlineStr">
        <is>
          <t>张三</t>
        </is>
      </c>
      <c r="D15" t="inlineStr">
        <is>
          <t>初稿创建</t>
        </is>
      </c>
    </row>
    <row r="16">
      <c r="A16" t="inlineStr">
        <is>
          <t>V1.1</t>
        </is>
      </c>
      <c r="B16" t="inlineStr">
        <is>
          <t>2025-04-10</t>
        </is>
      </c>
      <c r="C16" t="inlineStr">
        <is>
          <t>李四</t>
        </is>
      </c>
      <c r="D16" t="inlineStr">
        <is>
          <t>补充 UI 规格</t>
        </is>
      </c>
    </row>
    <row r="17">
      <c r="A17" t="inlineStr">
        <is>
          <t>V1.2</t>
        </is>
      </c>
      <c r="B17" t="inlineStr">
        <is>
          <t>2025-05-18</t>
        </is>
      </c>
      <c r="C17" t="inlineStr">
        <is>
          <t>王五</t>
        </is>
      </c>
      <c r="D17" t="inlineStr">
        <is>
          <t>修订数据模型</t>
        </is>
      </c>
    </row>
    <row r="18">
      <c r="A18" t="inlineStr">
        <is>
          <t>V2.0</t>
        </is>
      </c>
      <c r="B18" t="inlineStr">
        <is>
          <t>2025-07-02</t>
        </is>
      </c>
      <c r="C18" t="inlineStr">
        <is>
          <t>张三</t>
        </is>
      </c>
      <c r="D18" t="inlineStr">
        <is>
          <t>架构重构</t>
        </is>
      </c>
    </row>
    <row r="19">
      <c r="A19" t="inlineStr">
        <is>
          <t>V2.1</t>
        </is>
      </c>
      <c r="B19" t="inlineStr">
        <is>
          <t>2025-08-15</t>
        </is>
      </c>
      <c r="C19" t="inlineStr">
        <is>
          <t>李四</t>
        </is>
      </c>
      <c r="D19" t="inlineStr">
        <is>
          <t>新增公式验证</t>
        </is>
      </c>
    </row>
    <row r="20">
      <c r="A20" t="inlineStr">
        <is>
          <t>V2.2</t>
        </is>
      </c>
      <c r="B20" t="inlineStr">
        <is>
          <t>2025-09-20</t>
        </is>
      </c>
      <c r="C20" t="inlineStr">
        <is>
          <t>王五</t>
        </is>
      </c>
      <c r="D20" t="inlineStr">
        <is>
          <t>更新检查清单</t>
        </is>
      </c>
    </row>
    <row r="21">
      <c r="A21" s="6" t="inlineStr">
        <is>
          <t>V2.3</t>
        </is>
      </c>
      <c r="B21" s="6" t="inlineStr">
        <is>
          <t>2025-10-11</t>
        </is>
      </c>
      <c r="C21" s="6" t="inlineStr">
        <is>
          <t>赵六</t>
        </is>
      </c>
      <c r="D21" s="6" t="inlineStr">
        <is>
          <t>废弃旧接口</t>
        </is>
      </c>
    </row>
    <row r="22">
      <c r="A22" t="inlineStr">
        <is>
          <t>V2.4</t>
        </is>
      </c>
      <c r="B22" t="inlineStr">
        <is>
          <t>2025-11-05</t>
        </is>
      </c>
      <c r="C22" t="inlineStr">
        <is>
          <t>张三</t>
        </is>
      </c>
      <c r="D22" t="inlineStr">
        <is>
          <t>性能优化</t>
        </is>
      </c>
    </row>
    <row r="23">
      <c r="A23" t="inlineStr">
        <is>
          <t>V2.5</t>
        </is>
      </c>
      <c r="B23" t="inlineStr">
        <is>
          <t>2025-12-12</t>
        </is>
      </c>
      <c r="C23" t="inlineStr">
        <is>
          <t>李四</t>
        </is>
      </c>
      <c r="D23" t="inlineStr">
        <is>
          <t>安全性增强</t>
        </is>
      </c>
    </row>
    <row r="24">
      <c r="A24" t="inlineStr">
        <is>
          <t>V2.6</t>
        </is>
      </c>
      <c r="B24" t="inlineStr">
        <is>
          <t>2026-01-08</t>
        </is>
      </c>
      <c r="C24" t="inlineStr">
        <is>
          <t>王五</t>
        </is>
      </c>
      <c r="D24" t="inlineStr">
        <is>
          <t>文档结构整理</t>
        </is>
      </c>
    </row>
    <row r="25">
      <c r="A25" t="inlineStr">
        <is>
          <t>V2.7</t>
        </is>
      </c>
      <c r="B25" t="inlineStr">
        <is>
          <t>2026-02-14</t>
        </is>
      </c>
      <c r="C25" t="inlineStr">
        <is>
          <t>赵六</t>
        </is>
      </c>
      <c r="D25" t="inlineStr">
        <is>
          <t>术语表更新</t>
        </is>
      </c>
    </row>
    <row r="26">
      <c r="A26" t="inlineStr">
        <is>
          <t>V2.8</t>
        </is>
      </c>
      <c r="B26" t="inlineStr">
        <is>
          <t>2026-03-20</t>
        </is>
      </c>
      <c r="C26" t="inlineStr">
        <is>
          <t>张三</t>
        </is>
      </c>
      <c r="D26" t="inlineStr">
        <is>
          <t>修订记录补全</t>
        </is>
      </c>
    </row>
    <row r="27">
      <c r="A27" t="inlineStr">
        <is>
          <t>V2.9</t>
        </is>
      </c>
      <c r="B27" t="inlineStr">
        <is>
          <t>2026-04-25</t>
        </is>
      </c>
      <c r="C27" t="inlineStr">
        <is>
          <t>李四</t>
        </is>
      </c>
      <c r="D27" t="inlineStr">
        <is>
          <t>格式矩阵扩充</t>
        </is>
      </c>
    </row>
    <row r="28">
      <c r="A28" s="7" t="inlineStr">
        <is>
          <t>V3.0</t>
        </is>
      </c>
      <c r="B28" s="7" t="inlineStr">
        <is>
          <t>2026-08-10</t>
        </is>
      </c>
      <c r="C28" s="7" t="inlineStr">
        <is>
          <t>张三</t>
        </is>
      </c>
      <c r="D28" s="7" t="inlineStr">
        <is>
          <t>正式发布版本</t>
        </is>
      </c>
    </row>
    <row r="29">
      <c r="A29" t="inlineStr">
        <is>
          <t>(历史修订 15)</t>
        </is>
      </c>
    </row>
    <row r="30">
      <c r="A30" t="inlineStr">
        <is>
          <t>(历史修订 16)</t>
        </is>
      </c>
    </row>
    <row r="32">
      <c r="A32" s="2" t="inlineStr">
        <is>
          <t>3. 术语定义</t>
        </is>
      </c>
    </row>
    <row r="33">
      <c r="A33" s="4" t="inlineStr">
        <is>
          <t>术语</t>
        </is>
      </c>
      <c r="B33" s="4" t="inlineStr">
        <is>
          <t>英文</t>
        </is>
      </c>
      <c r="C33" s="4" t="inlineStr">
        <is>
          <t>说明</t>
        </is>
      </c>
    </row>
    <row r="34">
      <c r="A34" s="8" t="inlineStr">
        <is>
          <t>OfficeCLI</t>
        </is>
      </c>
      <c r="B34" t="inlineStr">
        <is>
          <t>Office CLI</t>
        </is>
      </c>
      <c r="C34" t="inlineStr">
        <is>
          <t>Office 命令行转换工具</t>
        </is>
      </c>
    </row>
    <row r="35">
      <c r="A35" s="8" t="inlineStr">
        <is>
          <t>Markdown</t>
        </is>
      </c>
      <c r="B35" t="inlineStr">
        <is>
          <t>Markdown</t>
        </is>
      </c>
      <c r="C35" t="inlineStr">
        <is>
          <t>轻量标记语言</t>
        </is>
      </c>
    </row>
    <row r="36">
      <c r="A36" s="9" t="inlineStr">
        <is>
          <t>OpenPyXL</t>
        </is>
      </c>
      <c r="B36" t="inlineStr">
        <is>
          <t>OpenPyXL</t>
        </is>
      </c>
      <c r="C36" t="inlineStr">
        <is>
          <t>Python Excel 库</t>
        </is>
      </c>
    </row>
    <row r="37">
      <c r="A37" s="10" t="inlineStr">
        <is>
          <t>工作簿</t>
        </is>
      </c>
      <c r="B37" t="inlineStr">
        <is>
          <t>Workbook</t>
        </is>
      </c>
      <c r="C37" t="inlineStr">
        <is>
          <t>Excel 文件</t>
        </is>
      </c>
    </row>
    <row r="38">
      <c r="A38" s="10" t="inlineStr">
        <is>
          <t>工作表</t>
        </is>
      </c>
      <c r="B38" t="inlineStr">
        <is>
          <t>Worksheet</t>
        </is>
      </c>
      <c r="C38" t="inlineStr">
        <is>
          <t>Excel Sheet 页</t>
        </is>
      </c>
    </row>
    <row r="39">
      <c r="A39" s="10" t="inlineStr">
        <is>
          <t>单元格</t>
        </is>
      </c>
      <c r="B39" t="inlineStr">
        <is>
          <t>Cell</t>
        </is>
      </c>
      <c r="C39" t="inlineStr">
        <is>
          <t>表格最小单元</t>
        </is>
      </c>
    </row>
    <row r="40">
      <c r="A40" s="10" t="inlineStr">
        <is>
          <t>合并单元格</t>
        </is>
      </c>
      <c r="B40" t="inlineStr">
        <is>
          <t>Merged Cell</t>
        </is>
      </c>
      <c r="C40" t="inlineStr">
        <is>
          <t>多个单元格合并</t>
        </is>
      </c>
    </row>
    <row r="41">
      <c r="A41" s="9" t="inlineStr">
        <is>
          <t>条件格式</t>
        </is>
      </c>
      <c r="B41" t="inlineStr">
        <is>
          <t>Conditional Format</t>
        </is>
      </c>
      <c r="C41" t="inlineStr">
        <is>
          <t>基于规则的格式</t>
        </is>
      </c>
    </row>
    <row r="42">
      <c r="A42" s="10" t="inlineStr">
        <is>
          <t>数据验证</t>
        </is>
      </c>
      <c r="B42" t="inlineStr">
        <is>
          <t>Data Validation</t>
        </is>
      </c>
      <c r="C42" t="inlineStr">
        <is>
          <t>单元格输入约束</t>
        </is>
      </c>
    </row>
    <row r="43">
      <c r="A43" s="10" t="inlineStr">
        <is>
          <t>公式</t>
        </is>
      </c>
      <c r="B43" t="inlineStr">
        <is>
          <t>Formula</t>
        </is>
      </c>
      <c r="C43" t="inlineStr">
        <is>
          <t>单元格计算表达式</t>
        </is>
      </c>
    </row>
    <row r="44">
      <c r="A44" s="9" t="inlineStr">
        <is>
          <t>超链接</t>
        </is>
      </c>
      <c r="B44" t="inlineStr">
        <is>
          <t>Hyperlink</t>
        </is>
      </c>
      <c r="C44" t="inlineStr">
        <is>
          <t>指向外部资源</t>
        </is>
      </c>
    </row>
    <row r="45">
      <c r="A45" s="10" t="inlineStr">
        <is>
          <t>形状</t>
        </is>
      </c>
      <c r="B45" t="inlineStr">
        <is>
          <t>Shape</t>
        </is>
      </c>
      <c r="C45" t="inlineStr">
        <is>
          <t>绘制的几何对象</t>
        </is>
      </c>
    </row>
    <row r="46">
      <c r="A46" s="10" t="inlineStr">
        <is>
          <t>吹出泡</t>
        </is>
      </c>
      <c r="B46" t="inlineStr">
        <is>
          <t>Callout</t>
        </is>
      </c>
      <c r="C46" t="inlineStr">
        <is>
          <t>带指向的标注形状</t>
        </is>
      </c>
    </row>
    <row r="47">
      <c r="A47" s="8" t="inlineStr">
        <is>
          <t>图片</t>
        </is>
      </c>
      <c r="B47" t="inlineStr">
        <is>
          <t>Image</t>
        </is>
      </c>
      <c r="C47" t="inlineStr">
        <is>
          <t>嵌入的位图</t>
        </is>
      </c>
    </row>
    <row r="48">
      <c r="A48" s="10" t="inlineStr">
        <is>
          <t>字体</t>
        </is>
      </c>
      <c r="B48" t="inlineStr">
        <is>
          <t>Font</t>
        </is>
      </c>
      <c r="C48" t="inlineStr">
        <is>
          <t>文字样式</t>
        </is>
      </c>
    </row>
    <row r="49">
      <c r="A49" s="10" t="inlineStr">
        <is>
          <t>填充</t>
        </is>
      </c>
      <c r="B49" t="inlineStr">
        <is>
          <t>Fill</t>
        </is>
      </c>
      <c r="C49" t="inlineStr">
        <is>
          <t>单元格背景</t>
        </is>
      </c>
    </row>
    <row r="50">
      <c r="A50" s="10" t="inlineStr">
        <is>
          <t>边框</t>
        </is>
      </c>
      <c r="B50" t="inlineStr">
        <is>
          <t>Border</t>
        </is>
      </c>
      <c r="C50" t="inlineStr">
        <is>
          <t>单元格边线</t>
        </is>
      </c>
    </row>
    <row r="51">
      <c r="A51" s="10" t="inlineStr">
        <is>
          <t>删除线</t>
        </is>
      </c>
      <c r="B51" t="inlineStr">
        <is>
          <t>Strikethrough</t>
        </is>
      </c>
      <c r="C51" t="inlineStr">
        <is>
          <t>文字横线</t>
        </is>
      </c>
    </row>
    <row r="52">
      <c r="A52" s="10" t="inlineStr">
        <is>
          <t>斜体</t>
        </is>
      </c>
      <c r="B52" t="inlineStr">
        <is>
          <t>Italic</t>
        </is>
      </c>
      <c r="C52" t="inlineStr">
        <is>
          <t>倾斜文字</t>
        </is>
      </c>
    </row>
    <row r="53">
      <c r="A53" s="9" t="inlineStr">
        <is>
          <t>下划线</t>
        </is>
      </c>
      <c r="B53" t="inlineStr">
        <is>
          <t>Underline</t>
        </is>
      </c>
      <c r="C53" t="inlineStr">
        <is>
          <t>文字下划线</t>
        </is>
      </c>
    </row>
    <row r="54">
      <c r="A54" s="9" t="inlineStr">
        <is>
          <t>EMU</t>
        </is>
      </c>
      <c r="B54" t="inlineStr">
        <is>
          <t>English Metric Unit</t>
        </is>
      </c>
      <c r="C54" t="inlineStr">
        <is>
          <t>绘图单位(914400/英寸)</t>
        </is>
      </c>
    </row>
    <row r="55">
      <c r="A55" s="10" t="inlineStr">
        <is>
          <t>锚点</t>
        </is>
      </c>
      <c r="B55" t="inlineStr">
        <is>
          <t>Anchor</t>
        </is>
      </c>
      <c r="C55" t="inlineStr">
        <is>
          <t>图形定位标记</t>
        </is>
      </c>
    </row>
    <row r="56">
      <c r="A56" s="9" t="inlineStr">
        <is>
          <t>Alt 文本</t>
        </is>
      </c>
      <c r="B56" t="inlineStr">
        <is>
          <t>Alt Text</t>
        </is>
      </c>
      <c r="C56" t="inlineStr">
        <is>
          <t>图片替代说明</t>
        </is>
      </c>
    </row>
    <row r="57">
      <c r="A57" s="2" t="inlineStr">
        <is>
          <t>4. 格式验证矩阵</t>
        </is>
      </c>
    </row>
    <row r="58">
      <c r="A58" s="4" t="inlineStr">
        <is>
          <t>格式类型</t>
        </is>
      </c>
      <c r="B58" s="4" t="inlineStr">
        <is>
          <t>示例</t>
        </is>
      </c>
    </row>
    <row r="59">
      <c r="A59" s="3" t="inlineStr">
        <is>
          <t>加粗文本</t>
        </is>
      </c>
      <c r="B59" s="3" t="inlineStr">
        <is>
          <t>这是加粗文本</t>
        </is>
      </c>
    </row>
    <row r="60">
      <c r="B60" s="3" t="inlineStr">
        <is>
          <t>Bold 加粗示例</t>
        </is>
      </c>
    </row>
    <row r="61">
      <c r="A61" s="3" t="inlineStr">
        <is>
          <t>斜体文本</t>
        </is>
      </c>
      <c r="B61" s="11" t="inlineStr">
        <is>
          <t>这是斜体文本</t>
        </is>
      </c>
    </row>
    <row r="62">
      <c r="B62" s="11" t="inlineStr">
        <is>
          <t>Italic 示例</t>
        </is>
      </c>
    </row>
    <row r="63">
      <c r="A63" s="3" t="inlineStr">
        <is>
          <t>删除线文本</t>
        </is>
      </c>
      <c r="B63" s="12" t="inlineStr">
        <is>
          <t>这是删除线文本</t>
        </is>
      </c>
    </row>
    <row r="64">
      <c r="B64" s="12" t="inlineStr">
        <is>
          <t>废弃内容(删除线)</t>
        </is>
      </c>
    </row>
    <row r="65">
      <c r="A65" s="3" t="inlineStr">
        <is>
          <t>红色字体</t>
        </is>
      </c>
      <c r="B65" s="13" t="inlineStr">
        <is>
          <t>红色字体</t>
        </is>
      </c>
    </row>
    <row r="66">
      <c r="B66" s="13" t="inlineStr">
        <is>
          <t>Red</t>
        </is>
      </c>
    </row>
    <row r="67">
      <c r="A67" s="3" t="inlineStr">
        <is>
          <t>蓝色字体</t>
        </is>
      </c>
      <c r="B67" s="14" t="inlineStr">
        <is>
          <t>蓝色字体</t>
        </is>
      </c>
    </row>
    <row r="68">
      <c r="B68" s="14" t="inlineStr">
        <is>
          <t>Blue</t>
        </is>
      </c>
    </row>
    <row r="69">
      <c r="A69" s="3" t="inlineStr">
        <is>
          <t>绿色字体</t>
        </is>
      </c>
      <c r="B69" s="15" t="inlineStr">
        <is>
          <t>绿色字体</t>
        </is>
      </c>
    </row>
    <row r="70">
      <c r="B70" s="15" t="inlineStr">
        <is>
          <t>Green</t>
        </is>
      </c>
    </row>
    <row r="71">
      <c r="A71" s="3" t="inlineStr">
        <is>
          <t>灰色字体</t>
        </is>
      </c>
      <c r="B71" s="16" t="inlineStr">
        <is>
          <t>灰色字体</t>
        </is>
      </c>
    </row>
    <row r="72">
      <c r="B72" s="16" t="inlineStr">
        <is>
          <t>Gray</t>
        </is>
      </c>
    </row>
    <row r="73">
      <c r="A73" s="3" t="inlineStr">
        <is>
          <t>黄色背景高亮</t>
        </is>
      </c>
      <c r="B73" s="17" t="inlineStr">
        <is>
          <t>黄色背景高亮</t>
        </is>
      </c>
    </row>
    <row r="74">
      <c r="B74" s="17" t="inlineStr">
        <is>
          <t>Highlight 标注</t>
        </is>
      </c>
    </row>
    <row r="75">
      <c r="A75" s="3" t="inlineStr">
        <is>
          <t>蓝色背景</t>
        </is>
      </c>
      <c r="B75" s="18" t="inlineStr">
        <is>
          <t>蓝色背景</t>
        </is>
      </c>
    </row>
    <row r="76">
      <c r="B76" s="18" t="inlineStr">
        <is>
          <t>Blue bg</t>
        </is>
      </c>
    </row>
    <row r="77">
      <c r="A77" s="3" t="inlineStr">
        <is>
          <t>下划线</t>
        </is>
      </c>
      <c r="B77" s="19" t="inlineStr">
        <is>
          <t>下划线文本</t>
        </is>
      </c>
    </row>
    <row r="78">
      <c r="B78" s="19" t="inlineStr">
        <is>
          <t>Underline</t>
        </is>
      </c>
    </row>
    <row r="79">
      <c r="A79" s="3" t="inlineStr">
        <is>
          <t>加粗+红色组合</t>
        </is>
      </c>
      <c r="B79" s="20" t="inlineStr">
        <is>
          <t>加粗+红色组合</t>
        </is>
      </c>
    </row>
    <row r="80">
      <c r="B80" s="20" t="inlineStr">
        <is>
          <t>Bold Red</t>
        </is>
      </c>
    </row>
    <row r="81">
      <c r="A81" s="3" t="inlineStr">
        <is>
          <t>删除线+灰色组合</t>
        </is>
      </c>
      <c r="B81" s="5" t="inlineStr">
        <is>
          <t>废弃+灰色删除线</t>
        </is>
      </c>
    </row>
    <row r="82">
      <c r="B82" s="5" t="inlineStr">
        <is>
          <t>Old version</t>
        </is>
      </c>
    </row>
    <row r="83">
      <c r="A83" s="3" t="inlineStr">
        <is>
          <t>超链接(GitHub)</t>
        </is>
      </c>
      <c r="B83" s="21" t="inlineStr">
        <is>
          <t>GitHub 仓库</t>
        </is>
      </c>
    </row>
    <row r="84">
      <c r="B84" s="21" t="inlineStr">
        <is>
          <t>ai-tool-lab</t>
        </is>
      </c>
    </row>
    <row r="85">
      <c r="A85" s="3" t="inlineStr">
        <is>
          <t>加粗+斜体+下划线</t>
        </is>
      </c>
      <c r="B85" s="22" t="inlineStr">
        <is>
          <t>三重组合</t>
        </is>
      </c>
    </row>
    <row r="86">
      <c r="B86" s="22" t="inlineStr">
        <is>
          <t>Triple</t>
        </is>
      </c>
    </row>
    <row r="87">
      <c r="A87" s="3" t="inlineStr">
        <is>
          <t>字号 24</t>
        </is>
      </c>
      <c r="B87" s="23" t="inlineStr">
        <is>
          <t>字号24示例</t>
        </is>
      </c>
    </row>
    <row r="88">
      <c r="B88" s="23" t="inlineStr">
        <is>
          <t>Big</t>
        </is>
      </c>
    </row>
    <row r="89">
      <c r="A89" s="3" t="inlineStr">
        <is>
          <t>字号 18</t>
        </is>
      </c>
      <c r="B89" s="24" t="inlineStr">
        <is>
          <t>字号18示例</t>
        </is>
      </c>
    </row>
    <row r="90">
      <c r="B90" s="24" t="inlineStr">
        <is>
          <t>Large</t>
        </is>
      </c>
    </row>
    <row r="91">
      <c r="A91" s="3" t="inlineStr">
        <is>
          <t>字号 14</t>
        </is>
      </c>
      <c r="B91" s="25" t="inlineStr">
        <is>
          <t>字号14示例</t>
        </is>
      </c>
    </row>
    <row r="92">
      <c r="B92" s="25" t="inlineStr">
        <is>
          <t>Medium</t>
        </is>
      </c>
    </row>
    <row r="93">
      <c r="A93" s="3" t="inlineStr">
        <is>
          <t>字号 12</t>
        </is>
      </c>
      <c r="B93" s="26" t="inlineStr">
        <is>
          <t>字号12示例</t>
        </is>
      </c>
    </row>
    <row r="94">
      <c r="B94" s="26" t="inlineStr">
        <is>
          <t>Normal</t>
        </is>
      </c>
    </row>
    <row r="95">
      <c r="A95" s="3" t="inlineStr">
        <is>
          <t>字号 11</t>
        </is>
      </c>
      <c r="B95" s="27" t="inlineStr">
        <is>
          <t>字号11示例</t>
        </is>
      </c>
    </row>
    <row r="96">
      <c r="B96" s="27" t="inlineStr">
        <is>
          <t>Small</t>
        </is>
      </c>
    </row>
    <row r="97">
      <c r="A97" t="inlineStr">
        <is>
          <t>(格式矩阵预留 39)</t>
        </is>
      </c>
    </row>
    <row r="98">
      <c r="A98" t="inlineStr">
        <is>
          <t>(格式矩阵预留 40)</t>
        </is>
      </c>
    </row>
    <row r="99">
      <c r="A99" t="inlineStr">
        <is>
          <t>(格式矩阵预留 41)</t>
        </is>
      </c>
    </row>
    <row r="100">
      <c r="A100" t="inlineStr">
        <is>
          <t>(格式矩阵预留 42)</t>
        </is>
      </c>
    </row>
    <row r="101">
      <c r="A101" t="inlineStr">
        <is>
          <t>(格式矩阵预留 43)</t>
        </is>
      </c>
    </row>
    <row r="102">
      <c r="A102" t="inlineStr">
        <is>
          <t>(格式矩阵预留 44)</t>
        </is>
      </c>
    </row>
    <row r="103">
      <c r="A103" t="inlineStr">
        <is>
          <t>(格式矩阵预留 45)</t>
        </is>
      </c>
    </row>
    <row r="104">
      <c r="A104" t="inlineStr">
        <is>
          <t>(格式矩阵预留 46)</t>
        </is>
      </c>
    </row>
    <row r="105">
      <c r="A105" t="inlineStr">
        <is>
          <t>(格式矩阵预留 47)</t>
        </is>
      </c>
    </row>
    <row r="106">
      <c r="A106" t="inlineStr">
        <is>
          <t>(格式矩阵预留 48)</t>
        </is>
      </c>
    </row>
    <row r="107">
      <c r="A107" t="inlineStr">
        <is>
          <t>(格式矩阵预留 49)</t>
        </is>
      </c>
    </row>
    <row r="108">
      <c r="A108" t="inlineStr">
        <is>
          <t>(格式矩阵预留 50)</t>
        </is>
      </c>
    </row>
    <row r="109">
      <c r="A109" t="inlineStr">
        <is>
          <t>(格式矩阵预留 51)</t>
        </is>
      </c>
    </row>
    <row r="110">
      <c r="A110" t="inlineStr">
        <is>
          <t>(格式矩阵预留 52)</t>
        </is>
      </c>
    </row>
  </sheetData>
  <mergeCells count="40">
    <mergeCell ref="B91:C91"/>
    <mergeCell ref="B62:C62"/>
    <mergeCell ref="B72:C72"/>
    <mergeCell ref="B90:C90"/>
    <mergeCell ref="B59:C59"/>
    <mergeCell ref="B81:C81"/>
    <mergeCell ref="B66:C66"/>
    <mergeCell ref="B93:C93"/>
    <mergeCell ref="B96:C96"/>
    <mergeCell ref="B71:C71"/>
    <mergeCell ref="B58:C58"/>
    <mergeCell ref="B77:C77"/>
    <mergeCell ref="B70:C70"/>
    <mergeCell ref="B86:C86"/>
    <mergeCell ref="B67:C67"/>
    <mergeCell ref="B61:C61"/>
    <mergeCell ref="B60:C60"/>
    <mergeCell ref="B88:C88"/>
    <mergeCell ref="B82:C82"/>
    <mergeCell ref="B73:C73"/>
    <mergeCell ref="B69:C69"/>
    <mergeCell ref="B87:C87"/>
    <mergeCell ref="B78:C78"/>
    <mergeCell ref="B84:C84"/>
    <mergeCell ref="B65:C65"/>
    <mergeCell ref="B83:C83"/>
    <mergeCell ref="B74:C74"/>
    <mergeCell ref="B92:C92"/>
    <mergeCell ref="B68:C68"/>
    <mergeCell ref="B64:C64"/>
    <mergeCell ref="A1:C1"/>
    <mergeCell ref="B80:C80"/>
    <mergeCell ref="B95:C95"/>
    <mergeCell ref="B76:C76"/>
    <mergeCell ref="B89:C89"/>
    <mergeCell ref="B85:C85"/>
    <mergeCell ref="B94:C94"/>
    <mergeCell ref="B63:C63"/>
    <mergeCell ref="B79:C79"/>
    <mergeCell ref="B75:C75"/>
  </mergeCells>
  <hyperlinks>
    <hyperlink xmlns:r="http://schemas.openxmlformats.org/officeDocument/2006/relationships" ref="A34" r:id="rId1"/>
    <hyperlink xmlns:r="http://schemas.openxmlformats.org/officeDocument/2006/relationships" ref="A35" r:id="rId2"/>
    <hyperlink xmlns:r="http://schemas.openxmlformats.org/officeDocument/2006/relationships" ref="A47" r:id="rId3"/>
    <hyperlink xmlns:r="http://schemas.openxmlformats.org/officeDocument/2006/relationships" ref="B83" r:id="rId4"/>
    <hyperlink xmlns:r="http://schemas.openxmlformats.org/officeDocument/2006/relationships" ref="B84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24" customWidth="1" min="9" max="9"/>
  </cols>
  <sheetData>
    <row r="1">
      <c r="A1" s="1" t="inlineStr">
        <is>
          <t>UI 设计规格</t>
        </is>
      </c>
    </row>
    <row r="3">
      <c r="A3" s="2" t="inlineStr">
        <is>
          <t>1. 页面布局规格</t>
        </is>
      </c>
    </row>
    <row r="4">
      <c r="A4" s="4" t="inlineStr">
        <is>
          <t>页面名称</t>
        </is>
      </c>
      <c r="B4" s="4" t="inlineStr">
        <is>
          <t>宽度</t>
        </is>
      </c>
      <c r="C4" s="4" t="inlineStr">
        <is>
          <t>高度</t>
        </is>
      </c>
      <c r="D4" s="4" t="inlineStr">
        <is>
          <t>布局方式</t>
        </is>
      </c>
      <c r="E4" s="4" t="inlineStr">
        <is>
          <t>响应式断点</t>
        </is>
      </c>
      <c r="F4" s="4" t="inlineStr">
        <is>
          <t>主色</t>
        </is>
      </c>
      <c r="G4" s="4" t="inlineStr">
        <is>
          <t>辅色</t>
        </is>
      </c>
      <c r="H4" s="4" t="inlineStr">
        <is>
          <t>备注</t>
        </is>
      </c>
    </row>
    <row r="5">
      <c r="A5" t="inlineStr">
        <is>
          <t>首页</t>
        </is>
      </c>
      <c r="B5" t="n">
        <v>1920</v>
      </c>
      <c r="C5" t="n">
        <v>1080</v>
      </c>
      <c r="D5" t="inlineStr">
        <is>
          <t>Grid</t>
        </is>
      </c>
      <c r="E5" t="inlineStr">
        <is>
          <t>1280/768</t>
        </is>
      </c>
      <c r="F5" t="inlineStr">
        <is>
          <t>#4472C4</t>
        </is>
      </c>
      <c r="G5" t="inlineStr">
        <is>
          <t>#BDD7EE</t>
        </is>
      </c>
      <c r="H5" t="inlineStr">
        <is>
          <t>主入口</t>
        </is>
      </c>
    </row>
    <row r="6">
      <c r="A6" t="inlineStr">
        <is>
          <t>登录页</t>
        </is>
      </c>
      <c r="B6" t="n">
        <v>1280</v>
      </c>
      <c r="C6" t="n">
        <v>800</v>
      </c>
      <c r="D6" t="inlineStr">
        <is>
          <t>Flex</t>
        </is>
      </c>
      <c r="E6" t="inlineStr">
        <is>
          <t>768</t>
        </is>
      </c>
      <c r="F6" t="inlineStr">
        <is>
          <t>#4472C4</t>
        </is>
      </c>
      <c r="G6" t="inlineStr">
        <is>
          <t>#ED7D31</t>
        </is>
      </c>
      <c r="H6" t="inlineStr">
        <is>
          <t>居中卡片</t>
        </is>
      </c>
    </row>
    <row r="7">
      <c r="A7" t="inlineStr">
        <is>
          <t>仪表盘</t>
        </is>
      </c>
      <c r="B7" t="n">
        <v>1920</v>
      </c>
      <c r="C7" t="n">
        <v>1080</v>
      </c>
      <c r="D7" t="inlineStr">
        <is>
          <t>Grid</t>
        </is>
      </c>
      <c r="E7" t="inlineStr">
        <is>
          <t>1440/1024</t>
        </is>
      </c>
      <c r="F7" t="inlineStr">
        <is>
          <t>#2E5496</t>
        </is>
      </c>
      <c r="G7" t="inlineStr">
        <is>
          <t>#70AD47</t>
        </is>
      </c>
      <c r="H7" t="inlineStr">
        <is>
          <t>多卡片</t>
        </is>
      </c>
    </row>
    <row r="8">
      <c r="A8" t="inlineStr">
        <is>
          <t>列表页</t>
        </is>
      </c>
      <c r="B8" t="n">
        <v>1920</v>
      </c>
      <c r="C8" t="n">
        <v>1080</v>
      </c>
      <c r="D8" t="inlineStr">
        <is>
          <t>Flex</t>
        </is>
      </c>
      <c r="E8" t="inlineStr">
        <is>
          <t>1280</t>
        </is>
      </c>
      <c r="F8" t="inlineStr">
        <is>
          <t>#4472C4</t>
        </is>
      </c>
      <c r="G8" t="inlineStr">
        <is>
          <t>#FFC000</t>
        </is>
      </c>
      <c r="H8" t="inlineStr">
        <is>
          <t>表格为主</t>
        </is>
      </c>
    </row>
    <row r="9">
      <c r="A9" t="inlineStr">
        <is>
          <t>详情页</t>
        </is>
      </c>
      <c r="B9" t="n">
        <v>1280</v>
      </c>
      <c r="C9" t="n">
        <v>1080</v>
      </c>
      <c r="D9" t="inlineStr">
        <is>
          <t>Flex</t>
        </is>
      </c>
      <c r="E9" t="inlineStr">
        <is>
          <t>1024</t>
        </is>
      </c>
      <c r="F9" t="inlineStr">
        <is>
          <t>#4472C4</t>
        </is>
      </c>
      <c r="G9" t="inlineStr">
        <is>
          <t>#BDD7EE</t>
        </is>
      </c>
      <c r="H9" t="inlineStr">
        <is>
          <t>左右栏</t>
        </is>
      </c>
    </row>
    <row r="10">
      <c r="A10" t="inlineStr">
        <is>
          <t>表单页</t>
        </is>
      </c>
      <c r="B10" t="n">
        <v>1280</v>
      </c>
      <c r="C10" t="n">
        <v>1080</v>
      </c>
      <c r="D10" t="inlineStr">
        <is>
          <t>Flex</t>
        </is>
      </c>
      <c r="E10" t="inlineStr">
        <is>
          <t>768</t>
        </is>
      </c>
      <c r="F10" t="inlineStr">
        <is>
          <t>#4472C4</t>
        </is>
      </c>
      <c r="G10" t="inlineStr">
        <is>
          <t>#FF0000</t>
        </is>
      </c>
      <c r="H10" t="inlineStr">
        <is>
          <t>校验提示</t>
        </is>
      </c>
    </row>
    <row r="11">
      <c r="A11" s="28" t="inlineStr">
        <is>
          <t>设置页</t>
        </is>
      </c>
      <c r="B11" s="28" t="n">
        <v>1280</v>
      </c>
      <c r="C11" s="28" t="n">
        <v>800</v>
      </c>
      <c r="D11" s="28" t="inlineStr">
        <is>
          <t>Grid</t>
        </is>
      </c>
      <c r="E11" s="28" t="inlineStr">
        <is>
          <t>1024</t>
        </is>
      </c>
      <c r="F11" s="28" t="inlineStr">
        <is>
          <t>#5A5A5A</t>
        </is>
      </c>
      <c r="G11" s="28" t="inlineStr">
        <is>
          <t>#BDD7EE</t>
        </is>
      </c>
      <c r="H11" s="28" t="inlineStr">
        <is>
          <t>侧边导航</t>
        </is>
      </c>
    </row>
    <row r="12">
      <c r="A12" t="inlineStr">
        <is>
          <t>帮助页</t>
        </is>
      </c>
      <c r="B12" t="n">
        <v>1280</v>
      </c>
      <c r="C12" t="n">
        <v>800</v>
      </c>
      <c r="D12" t="inlineStr">
        <is>
          <t>Flex</t>
        </is>
      </c>
      <c r="E12" t="inlineStr">
        <is>
          <t>768</t>
        </is>
      </c>
      <c r="F12" t="inlineStr">
        <is>
          <t>#70AD47</t>
        </is>
      </c>
      <c r="G12" t="inlineStr">
        <is>
          <t>#BDD7EE</t>
        </is>
      </c>
      <c r="H12" t="inlineStr">
        <is>
          <t>文档展示</t>
        </is>
      </c>
    </row>
    <row r="13">
      <c r="A13" t="inlineStr">
        <is>
          <t>错误页</t>
        </is>
      </c>
      <c r="B13" t="n">
        <v>1280</v>
      </c>
      <c r="C13" t="n">
        <v>800</v>
      </c>
      <c r="D13" t="inlineStr">
        <is>
          <t>Flex</t>
        </is>
      </c>
      <c r="E13" t="inlineStr">
        <is>
          <t>768</t>
        </is>
      </c>
      <c r="F13" t="inlineStr">
        <is>
          <t>#FF0000</t>
        </is>
      </c>
      <c r="G13" t="inlineStr">
        <is>
          <t>#FFC000</t>
        </is>
      </c>
      <c r="H13" t="inlineStr">
        <is>
          <t>404/500</t>
        </is>
      </c>
    </row>
    <row r="14">
      <c r="A14" t="inlineStr">
        <is>
          <t>搜索页</t>
        </is>
      </c>
      <c r="B14" t="n">
        <v>1920</v>
      </c>
      <c r="C14" t="n">
        <v>1080</v>
      </c>
      <c r="D14" t="inlineStr">
        <is>
          <t>Grid</t>
        </is>
      </c>
      <c r="E14" t="inlineStr">
        <is>
          <t>1280</t>
        </is>
      </c>
      <c r="F14" t="inlineStr">
        <is>
          <t>#4472C4</t>
        </is>
      </c>
      <c r="G14" t="inlineStr">
        <is>
          <t>#ED7D31</t>
        </is>
      </c>
      <c r="H14" t="inlineStr">
        <is>
          <t>结果列表</t>
        </is>
      </c>
    </row>
    <row r="15">
      <c r="A15" t="inlineStr">
        <is>
          <t>个人中心</t>
        </is>
      </c>
      <c r="B15" t="n">
        <v>1280</v>
      </c>
      <c r="C15" t="n">
        <v>1080</v>
      </c>
      <c r="D15" t="inlineStr">
        <is>
          <t>Grid</t>
        </is>
      </c>
      <c r="E15" t="inlineStr">
        <is>
          <t>1024</t>
        </is>
      </c>
      <c r="F15" t="inlineStr">
        <is>
          <t>#4472C4</t>
        </is>
      </c>
      <c r="G15" t="inlineStr">
        <is>
          <t>#BDD7EE</t>
        </is>
      </c>
      <c r="H15" t="inlineStr">
        <is>
          <t>信息卡</t>
        </is>
      </c>
    </row>
    <row r="16">
      <c r="A16" t="inlineStr">
        <is>
          <t>消息中心</t>
        </is>
      </c>
      <c r="B16" t="n">
        <v>1280</v>
      </c>
      <c r="C16" t="n">
        <v>1080</v>
      </c>
      <c r="D16" t="inlineStr">
        <is>
          <t>Flex</t>
        </is>
      </c>
      <c r="E16" t="inlineStr">
        <is>
          <t>1024</t>
        </is>
      </c>
      <c r="F16" t="inlineStr">
        <is>
          <t>#4472C4</t>
        </is>
      </c>
      <c r="G16" t="inlineStr">
        <is>
          <t>#FFC000</t>
        </is>
      </c>
      <c r="H16" t="inlineStr">
        <is>
          <t>通知流</t>
        </is>
      </c>
    </row>
    <row r="17">
      <c r="A17" s="6" t="inlineStr">
        <is>
          <t>旧版首页</t>
        </is>
      </c>
      <c r="B17" s="6" t="n">
        <v>1024</v>
      </c>
      <c r="C17" s="6" t="n">
        <v>768</v>
      </c>
      <c r="D17" s="6" t="inlineStr">
        <is>
          <t>Table</t>
        </is>
      </c>
      <c r="E17" s="6" t="inlineStr">
        <is>
          <t>无</t>
        </is>
      </c>
      <c r="F17" s="6" t="inlineStr">
        <is>
          <t>#999999</t>
        </is>
      </c>
      <c r="G17" s="6" t="inlineStr">
        <is>
          <t>#CCCCCC</t>
        </is>
      </c>
      <c r="H17" s="6" t="inlineStr">
        <is>
          <t>废弃</t>
        </is>
      </c>
    </row>
    <row r="18">
      <c r="A18" t="inlineStr">
        <is>
          <t>新版首页</t>
        </is>
      </c>
      <c r="B18" t="n">
        <v>1920</v>
      </c>
      <c r="C18" t="n">
        <v>1080</v>
      </c>
      <c r="D18" t="inlineStr">
        <is>
          <t>Grid</t>
        </is>
      </c>
      <c r="E18" t="inlineStr">
        <is>
          <t>1280/768</t>
        </is>
      </c>
      <c r="F18" t="inlineStr">
        <is>
          <t>#4472C4</t>
        </is>
      </c>
      <c r="G18" t="inlineStr">
        <is>
          <t>#BDD7EE</t>
        </is>
      </c>
      <c r="H18" t="inlineStr">
        <is>
          <t>响应式</t>
        </is>
      </c>
    </row>
    <row r="19">
      <c r="A19" t="inlineStr">
        <is>
          <t>移动端首页</t>
        </is>
      </c>
      <c r="B19" t="n">
        <v>375</v>
      </c>
      <c r="C19" t="n">
        <v>812</v>
      </c>
      <c r="D19" t="inlineStr">
        <is>
          <t>Flex</t>
        </is>
      </c>
      <c r="E19" t="inlineStr">
        <is>
          <t>375</t>
        </is>
      </c>
      <c r="F19" t="inlineStr">
        <is>
          <t>#4472C4</t>
        </is>
      </c>
      <c r="G19" t="inlineStr">
        <is>
          <t>#ED7D31</t>
        </is>
      </c>
      <c r="H19" t="inlineStr">
        <is>
          <t>iOS 尺寸</t>
        </is>
      </c>
    </row>
    <row r="20">
      <c r="A20" t="inlineStr">
        <is>
          <t>平板首页</t>
        </is>
      </c>
      <c r="B20" t="n">
        <v>768</v>
      </c>
      <c r="C20" t="n">
        <v>1024</v>
      </c>
      <c r="D20" t="inlineStr">
        <is>
          <t>Grid</t>
        </is>
      </c>
      <c r="E20" t="inlineStr">
        <is>
          <t>768</t>
        </is>
      </c>
      <c r="F20" t="inlineStr">
        <is>
          <t>#4472C4</t>
        </is>
      </c>
      <c r="G20" t="inlineStr">
        <is>
          <t>#BDD7EE</t>
        </is>
      </c>
      <c r="H20" t="inlineStr">
        <is>
          <t>iPad 尺寸</t>
        </is>
      </c>
    </row>
    <row r="21">
      <c r="A21" s="28" t="inlineStr">
        <is>
          <t>弹窗-确认</t>
        </is>
      </c>
      <c r="B21" s="28" t="n">
        <v>480</v>
      </c>
      <c r="C21" s="28" t="n">
        <v>240</v>
      </c>
      <c r="D21" s="28" t="inlineStr">
        <is>
          <t>Flex</t>
        </is>
      </c>
      <c r="E21" s="28" t="inlineStr">
        <is>
          <t>N/A</t>
        </is>
      </c>
      <c r="F21" s="28" t="inlineStr">
        <is>
          <t>#4472C4</t>
        </is>
      </c>
      <c r="G21" s="28" t="inlineStr">
        <is>
          <t>#70AD47</t>
        </is>
      </c>
      <c r="H21" s="28" t="inlineStr">
        <is>
          <t>模态</t>
        </is>
      </c>
    </row>
    <row r="22">
      <c r="A22" t="inlineStr">
        <is>
          <t>弹窗-警告</t>
        </is>
      </c>
      <c r="B22" t="n">
        <v>480</v>
      </c>
      <c r="C22" t="n">
        <v>240</v>
      </c>
      <c r="D22" t="inlineStr">
        <is>
          <t>Flex</t>
        </is>
      </c>
      <c r="E22" t="inlineStr">
        <is>
          <t>N/A</t>
        </is>
      </c>
      <c r="F22" t="inlineStr">
        <is>
          <t>#FFC000</t>
        </is>
      </c>
      <c r="G22" t="inlineStr">
        <is>
          <t>#FF0000</t>
        </is>
      </c>
      <c r="H22" t="inlineStr">
        <is>
          <t>模态</t>
        </is>
      </c>
    </row>
    <row r="23">
      <c r="A23" t="inlineStr">
        <is>
          <t>抽屉-筛选</t>
        </is>
      </c>
      <c r="B23" t="n">
        <v>400</v>
      </c>
      <c r="C23" t="n">
        <v>800</v>
      </c>
      <c r="D23" t="inlineStr">
        <is>
          <t>Flex</t>
        </is>
      </c>
      <c r="E23" t="inlineStr">
        <is>
          <t>768</t>
        </is>
      </c>
      <c r="F23" t="inlineStr">
        <is>
          <t>#4472C4</t>
        </is>
      </c>
      <c r="G23" t="inlineStr">
        <is>
          <t>#BDD7EE</t>
        </is>
      </c>
      <c r="H23" t="inlineStr">
        <is>
          <t>右侧滑出</t>
        </is>
      </c>
    </row>
    <row r="24">
      <c r="A24" t="inlineStr">
        <is>
          <t>抽屉-详情</t>
        </is>
      </c>
      <c r="B24" t="n">
        <v>600</v>
      </c>
      <c r="C24" t="n">
        <v>1080</v>
      </c>
      <c r="D24" t="inlineStr">
        <is>
          <t>Flex</t>
        </is>
      </c>
      <c r="E24" t="inlineStr">
        <is>
          <t>1024</t>
        </is>
      </c>
      <c r="F24" t="inlineStr">
        <is>
          <t>#4472C4</t>
        </is>
      </c>
      <c r="G24" t="inlineStr">
        <is>
          <t>#BDD7EE</t>
        </is>
      </c>
      <c r="H24" t="inlineStr">
        <is>
          <t>右侧滑出</t>
        </is>
      </c>
    </row>
    <row r="25">
      <c r="A25" t="inlineStr">
        <is>
          <t>导航栏</t>
        </is>
      </c>
      <c r="B25" t="n">
        <v>1920</v>
      </c>
      <c r="C25" t="n">
        <v>64</v>
      </c>
      <c r="D25" t="inlineStr">
        <is>
          <t>Flex</t>
        </is>
      </c>
      <c r="E25" t="inlineStr">
        <is>
          <t>1280</t>
        </is>
      </c>
      <c r="F25" t="inlineStr">
        <is>
          <t>#1F3864</t>
        </is>
      </c>
      <c r="G25" t="inlineStr">
        <is>
          <t>#FFFFFF</t>
        </is>
      </c>
      <c r="H25" t="inlineStr">
        <is>
          <t>顶部</t>
        </is>
      </c>
    </row>
    <row r="26">
      <c r="A26" t="inlineStr">
        <is>
          <t>侧边栏</t>
        </is>
      </c>
      <c r="B26" t="n">
        <v>240</v>
      </c>
      <c r="C26" t="n">
        <v>1080</v>
      </c>
      <c r="D26" t="inlineStr">
        <is>
          <t>Flex</t>
        </is>
      </c>
      <c r="E26" t="inlineStr">
        <is>
          <t>1024</t>
        </is>
      </c>
      <c r="F26" t="inlineStr">
        <is>
          <t>#2E5496</t>
        </is>
      </c>
      <c r="G26" t="inlineStr">
        <is>
          <t>#BDD7EE</t>
        </is>
      </c>
      <c r="H26" t="inlineStr">
        <is>
          <t>左侧</t>
        </is>
      </c>
    </row>
    <row r="27">
      <c r="A27" s="28" t="inlineStr">
        <is>
          <t>页脚</t>
        </is>
      </c>
      <c r="B27" s="28" t="n">
        <v>1920</v>
      </c>
      <c r="C27" s="28" t="n">
        <v>120</v>
      </c>
      <c r="D27" s="28" t="inlineStr">
        <is>
          <t>Grid</t>
        </is>
      </c>
      <c r="E27" s="28" t="inlineStr">
        <is>
          <t>1280</t>
        </is>
      </c>
      <c r="F27" s="28" t="inlineStr">
        <is>
          <t>#5A5A5A</t>
        </is>
      </c>
      <c r="G27" s="28" t="inlineStr">
        <is>
          <t>#FFFFFF</t>
        </is>
      </c>
      <c r="H27" s="28" t="inlineStr">
        <is>
          <t>底部</t>
        </is>
      </c>
    </row>
    <row r="28">
      <c r="A28" t="inlineStr">
        <is>
          <t>卡片</t>
        </is>
      </c>
      <c r="B28" t="n">
        <v>380</v>
      </c>
      <c r="C28" t="n">
        <v>240</v>
      </c>
      <c r="D28" t="inlineStr">
        <is>
          <t>Flex</t>
        </is>
      </c>
      <c r="E28" t="inlineStr">
        <is>
          <t>N/A</t>
        </is>
      </c>
      <c r="F28" t="inlineStr">
        <is>
          <t>#FFFFFF</t>
        </is>
      </c>
      <c r="G28" t="inlineStr">
        <is>
          <t>#4472C4</t>
        </is>
      </c>
      <c r="H28" t="inlineStr">
        <is>
          <t>通用卡片</t>
        </is>
      </c>
    </row>
    <row r="29">
      <c r="A29" t="inlineStr">
        <is>
          <t>按钮组</t>
        </is>
      </c>
      <c r="B29" t="n">
        <v>320</v>
      </c>
      <c r="C29" t="n">
        <v>48</v>
      </c>
      <c r="D29" t="inlineStr">
        <is>
          <t>Flex</t>
        </is>
      </c>
      <c r="E29" t="inlineStr">
        <is>
          <t>N/A</t>
        </is>
      </c>
      <c r="F29" t="inlineStr">
        <is>
          <t>#4472C4</t>
        </is>
      </c>
      <c r="G29" t="inlineStr">
        <is>
          <t>#ED7D31</t>
        </is>
      </c>
      <c r="H29" t="inlineStr">
        <is>
          <t>操作区</t>
        </is>
      </c>
    </row>
    <row r="30">
      <c r="A30" t="inlineStr">
        <is>
          <t>标签页</t>
        </is>
      </c>
      <c r="B30" t="n">
        <v>1280</v>
      </c>
      <c r="C30" t="n">
        <v>48</v>
      </c>
      <c r="D30" t="inlineStr">
        <is>
          <t>Flex</t>
        </is>
      </c>
      <c r="E30" t="inlineStr">
        <is>
          <t>768</t>
        </is>
      </c>
      <c r="F30" t="inlineStr">
        <is>
          <t>#4472C4</t>
        </is>
      </c>
      <c r="G30" t="inlineStr">
        <is>
          <t>#BDD7EE</t>
        </is>
      </c>
      <c r="H30" t="inlineStr">
        <is>
          <t>切换</t>
        </is>
      </c>
    </row>
    <row r="31">
      <c r="A31" t="inlineStr">
        <is>
          <t>面包屑</t>
        </is>
      </c>
      <c r="B31" t="n">
        <v>1280</v>
      </c>
      <c r="C31" t="n">
        <v>40</v>
      </c>
      <c r="D31" t="inlineStr">
        <is>
          <t>Flex</t>
        </is>
      </c>
      <c r="E31" t="inlineStr">
        <is>
          <t>768</t>
        </is>
      </c>
      <c r="F31" t="inlineStr">
        <is>
          <t>#5A5A5A</t>
        </is>
      </c>
      <c r="G31" t="inlineStr">
        <is>
          <t>#BDD7EE</t>
        </is>
      </c>
      <c r="H31" t="inlineStr">
        <is>
          <t>路径</t>
        </is>
      </c>
    </row>
    <row r="32">
      <c r="A32" t="inlineStr">
        <is>
          <t>分页</t>
        </is>
      </c>
      <c r="B32" t="n">
        <v>1280</v>
      </c>
      <c r="C32" t="n">
        <v>48</v>
      </c>
      <c r="D32" t="inlineStr">
        <is>
          <t>Flex</t>
        </is>
      </c>
      <c r="E32" t="inlineStr">
        <is>
          <t>768</t>
        </is>
      </c>
      <c r="F32" t="inlineStr">
        <is>
          <t>#4472C4</t>
        </is>
      </c>
      <c r="G32" t="inlineStr">
        <is>
          <t>#FFFFFF</t>
        </is>
      </c>
      <c r="H32" t="inlineStr">
        <is>
          <t>翻页</t>
        </is>
      </c>
    </row>
    <row r="33">
      <c r="A33" t="inlineStr">
        <is>
          <t>空状态</t>
        </is>
      </c>
      <c r="B33" t="n">
        <v>480</v>
      </c>
      <c r="C33" t="n">
        <v>320</v>
      </c>
      <c r="D33" t="inlineStr">
        <is>
          <t>Flex</t>
        </is>
      </c>
      <c r="E33" t="inlineStr">
        <is>
          <t>N/A</t>
        </is>
      </c>
      <c r="F33" t="inlineStr">
        <is>
          <t>#5A5A5A</t>
        </is>
      </c>
      <c r="G33" t="inlineStr">
        <is>
          <t>#BDD7EE</t>
        </is>
      </c>
      <c r="H33" t="inlineStr">
        <is>
          <t>占位</t>
        </is>
      </c>
    </row>
    <row r="34">
      <c r="A34" t="inlineStr">
        <is>
          <t>加载态</t>
        </is>
      </c>
      <c r="B34" t="n">
        <v>1280</v>
      </c>
      <c r="C34" t="n">
        <v>800</v>
      </c>
      <c r="D34" t="inlineStr">
        <is>
          <t>Flex</t>
        </is>
      </c>
      <c r="E34" t="inlineStr">
        <is>
          <t>768</t>
        </is>
      </c>
      <c r="F34" t="inlineStr">
        <is>
          <t>#4472C4</t>
        </is>
      </c>
      <c r="G34" t="inlineStr">
        <is>
          <t>#BDD7EE</t>
        </is>
      </c>
      <c r="H34" t="inlineStr">
        <is>
          <t>骨架屏</t>
        </is>
      </c>
    </row>
    <row r="35">
      <c r="A35" t="inlineStr">
        <is>
          <t>骨架屏</t>
        </is>
      </c>
      <c r="B35" t="n">
        <v>1280</v>
      </c>
      <c r="C35" t="n">
        <v>800</v>
      </c>
      <c r="D35" t="inlineStr">
        <is>
          <t>Grid</t>
        </is>
      </c>
      <c r="E35" t="inlineStr">
        <is>
          <t>768</t>
        </is>
      </c>
      <c r="F35" t="inlineStr">
        <is>
          <t>#E0E0E0</t>
        </is>
      </c>
      <c r="G35" t="inlineStr">
        <is>
          <t>#F5F5F5</t>
        </is>
      </c>
      <c r="H35" t="inlineStr">
        <is>
          <t>占位</t>
        </is>
      </c>
    </row>
    <row r="36">
      <c r="A36" t="inlineStr">
        <is>
          <t>图表页</t>
        </is>
      </c>
      <c r="B36" t="n">
        <v>1920</v>
      </c>
      <c r="C36" t="n">
        <v>1080</v>
      </c>
      <c r="D36" t="inlineStr">
        <is>
          <t>Grid</t>
        </is>
      </c>
      <c r="E36" t="inlineStr">
        <is>
          <t>1440</t>
        </is>
      </c>
      <c r="F36" t="inlineStr">
        <is>
          <t>#4472C4</t>
        </is>
      </c>
      <c r="G36" t="inlineStr">
        <is>
          <t>#70AD47</t>
        </is>
      </c>
      <c r="H36" t="inlineStr">
        <is>
          <t>数据可视化</t>
        </is>
      </c>
    </row>
    <row r="37">
      <c r="A37" t="inlineStr">
        <is>
          <t>地图页</t>
        </is>
      </c>
      <c r="B37" t="n">
        <v>1920</v>
      </c>
      <c r="C37" t="n">
        <v>1080</v>
      </c>
      <c r="D37" t="inlineStr">
        <is>
          <t>Grid</t>
        </is>
      </c>
      <c r="E37" t="inlineStr">
        <is>
          <t>1440</t>
        </is>
      </c>
      <c r="F37" t="inlineStr">
        <is>
          <t>#4472C4</t>
        </is>
      </c>
      <c r="G37" t="inlineStr">
        <is>
          <t>#70AD47</t>
        </is>
      </c>
      <c r="H37" t="inlineStr">
        <is>
          <t>GIS</t>
        </is>
      </c>
    </row>
    <row r="38">
      <c r="A38" t="inlineStr">
        <is>
          <t>打印页</t>
        </is>
      </c>
      <c r="B38" t="n">
        <v>794</v>
      </c>
      <c r="C38" t="n">
        <v>1123</v>
      </c>
      <c r="D38" t="inlineStr">
        <is>
          <t>Grid</t>
        </is>
      </c>
      <c r="E38" t="inlineStr">
        <is>
          <t>N/A</t>
        </is>
      </c>
      <c r="F38" t="inlineStr">
        <is>
          <t>#000000</t>
        </is>
      </c>
      <c r="G38" t="inlineStr">
        <is>
          <t>#FFFFFF</t>
        </is>
      </c>
      <c r="H38" t="inlineStr">
        <is>
          <t>A4</t>
        </is>
      </c>
    </row>
    <row r="39">
      <c r="A39" t="inlineStr">
        <is>
          <t>暗色主题</t>
        </is>
      </c>
      <c r="B39" t="n">
        <v>1920</v>
      </c>
      <c r="C39" t="n">
        <v>1080</v>
      </c>
      <c r="D39" t="inlineStr">
        <is>
          <t>Grid</t>
        </is>
      </c>
      <c r="E39" t="inlineStr">
        <is>
          <t>1280</t>
        </is>
      </c>
      <c r="F39" t="inlineStr">
        <is>
          <t>#1F1F1F</t>
        </is>
      </c>
      <c r="G39" t="inlineStr">
        <is>
          <t>#3C3C3C</t>
        </is>
      </c>
      <c r="H39" t="inlineStr">
        <is>
          <t>Dark mode</t>
        </is>
      </c>
    </row>
    <row r="40">
      <c r="A40" t="inlineStr">
        <is>
          <t>高对比</t>
        </is>
      </c>
      <c r="B40" t="n">
        <v>1920</v>
      </c>
      <c r="C40" t="n">
        <v>1080</v>
      </c>
      <c r="D40" t="inlineStr">
        <is>
          <t>Flex</t>
        </is>
      </c>
      <c r="E40" t="inlineStr">
        <is>
          <t>1280</t>
        </is>
      </c>
      <c r="F40" t="inlineStr">
        <is>
          <t>#000000</t>
        </is>
      </c>
      <c r="G40" t="inlineStr">
        <is>
          <t>#FFFF00</t>
        </is>
      </c>
      <c r="H40" t="inlineStr">
        <is>
          <t>无障碍</t>
        </is>
      </c>
    </row>
    <row r="41">
      <c r="A41" t="inlineStr">
        <is>
          <t>预览页</t>
        </is>
      </c>
      <c r="B41" t="n">
        <v>1280</v>
      </c>
      <c r="C41" t="n">
        <v>720</v>
      </c>
      <c r="D41" t="inlineStr">
        <is>
          <t>Flex</t>
        </is>
      </c>
      <c r="E41" t="inlineStr">
        <is>
          <t>1024</t>
        </is>
      </c>
      <c r="F41" t="inlineStr">
        <is>
          <t>#4472C4</t>
        </is>
      </c>
      <c r="G41" t="inlineStr">
        <is>
          <t>#BDD7EE</t>
        </is>
      </c>
      <c r="H41" t="inlineStr">
        <is>
          <t>只读</t>
        </is>
      </c>
    </row>
    <row r="42">
      <c r="A42" s="2" t="inlineStr">
        <is>
          <t>2. 组件规格表</t>
        </is>
      </c>
    </row>
    <row r="43">
      <c r="A43" s="29" t="inlineStr">
        <is>
          <t>组件规格表 (Component Specification)</t>
        </is>
      </c>
    </row>
    <row r="44">
      <c r="A44" s="30" t="inlineStr">
        <is>
          <t>组件名</t>
        </is>
      </c>
      <c r="B44" s="30" t="inlineStr">
        <is>
          <t>类型</t>
        </is>
      </c>
      <c r="C44" s="30" t="inlineStr">
        <is>
          <t>尺寸</t>
        </is>
      </c>
      <c r="D44" s="30" t="inlineStr">
        <is>
          <t>颜色</t>
        </is>
      </c>
      <c r="E44" s="30" t="inlineStr">
        <is>
          <t>字体</t>
        </is>
      </c>
      <c r="F44" s="30" t="inlineStr">
        <is>
          <t>边框</t>
        </is>
      </c>
      <c r="G44" s="30" t="inlineStr">
        <is>
          <t>阴影</t>
        </is>
      </c>
      <c r="H44" s="30" t="inlineStr">
        <is>
          <t>状态</t>
        </is>
      </c>
      <c r="I44" s="30" t="inlineStr">
        <is>
          <t>备注</t>
        </is>
      </c>
    </row>
    <row r="45">
      <c r="A45" t="inlineStr">
        <is>
          <t>按钮-01</t>
        </is>
      </c>
      <c r="B45" t="inlineStr">
        <is>
          <t>按钮</t>
        </is>
      </c>
      <c r="C45" t="inlineStr">
        <is>
          <t>80x32</t>
        </is>
      </c>
      <c r="D45" t="inlineStr">
        <is>
          <t>#4472C4</t>
        </is>
      </c>
      <c r="E45" t="inlineStr">
        <is>
          <t>14px/Roboto</t>
        </is>
      </c>
      <c r="F45" t="inlineStr">
        <is>
          <t>1px solid #DDD</t>
        </is>
      </c>
      <c r="G45" t="inlineStr">
        <is>
          <t>0 2px 4px rgba(0,0,0,.1)</t>
        </is>
      </c>
      <c r="H45" t="inlineStr">
        <is>
          <t>确定</t>
        </is>
      </c>
      <c r="I45" t="inlineStr">
        <is>
          <t>组件备注 1</t>
        </is>
      </c>
    </row>
    <row r="46">
      <c r="A46" t="inlineStr">
        <is>
          <t>输入框-02</t>
        </is>
      </c>
      <c r="B46" t="inlineStr">
        <is>
          <t>输入框</t>
        </is>
      </c>
      <c r="C46" t="inlineStr">
        <is>
          <t>82x32</t>
        </is>
      </c>
      <c r="D46" t="inlineStr">
        <is>
          <t>#4573C5</t>
        </is>
      </c>
      <c r="E46" t="inlineStr">
        <is>
          <t>14px/Roboto</t>
        </is>
      </c>
      <c r="F46" t="inlineStr">
        <is>
          <t>1px solid #DDD</t>
        </is>
      </c>
      <c r="G46" t="inlineStr">
        <is>
          <t>无</t>
        </is>
      </c>
      <c r="H46" t="inlineStr">
        <is>
          <t>废弃</t>
        </is>
      </c>
      <c r="I46" t="inlineStr">
        <is>
          <t>组件备注 2</t>
        </is>
      </c>
    </row>
    <row r="47">
      <c r="A47" t="inlineStr">
        <is>
          <t>选择器-03</t>
        </is>
      </c>
      <c r="B47" t="inlineStr">
        <is>
          <t>选择器</t>
        </is>
      </c>
      <c r="C47" t="inlineStr">
        <is>
          <t>84x32</t>
        </is>
      </c>
      <c r="D47" t="inlineStr">
        <is>
          <t>#4674C6</t>
        </is>
      </c>
      <c r="E47" t="inlineStr">
        <is>
          <t>14px/Roboto</t>
        </is>
      </c>
      <c r="F47" t="inlineStr">
        <is>
          <t>1px solid #DDD</t>
        </is>
      </c>
      <c r="G47" t="inlineStr">
        <is>
          <t>0 2px 4px rgba(0,0,0,.1)</t>
        </is>
      </c>
      <c r="H47" t="inlineStr">
        <is>
          <t>待定</t>
        </is>
      </c>
      <c r="I47" t="inlineStr">
        <is>
          <t>组件备注 3</t>
        </is>
      </c>
    </row>
    <row r="48">
      <c r="A48" t="inlineStr">
        <is>
          <t>复选框-04</t>
        </is>
      </c>
      <c r="B48" t="inlineStr">
        <is>
          <t>复选框</t>
        </is>
      </c>
      <c r="C48" t="inlineStr">
        <is>
          <t>86x32</t>
        </is>
      </c>
      <c r="D48" t="inlineStr">
        <is>
          <t>#4775C7</t>
        </is>
      </c>
      <c r="E48" t="inlineStr">
        <is>
          <t>14px/Roboto</t>
        </is>
      </c>
      <c r="F48" t="inlineStr">
        <is>
          <t>1px solid #DDD</t>
        </is>
      </c>
      <c r="G48" t="inlineStr">
        <is>
          <t>无</t>
        </is>
      </c>
      <c r="H48" t="inlineStr">
        <is>
          <t>确定</t>
        </is>
      </c>
      <c r="I48" t="inlineStr">
        <is>
          <t>组件备注 4</t>
        </is>
      </c>
    </row>
    <row r="49">
      <c r="A49" t="inlineStr">
        <is>
          <t>单选框-05</t>
        </is>
      </c>
      <c r="B49" t="inlineStr">
        <is>
          <t>单选框</t>
        </is>
      </c>
      <c r="C49" t="inlineStr">
        <is>
          <t>88x32</t>
        </is>
      </c>
      <c r="D49" t="inlineStr">
        <is>
          <t>#4876C8</t>
        </is>
      </c>
      <c r="E49" t="inlineStr">
        <is>
          <t>14px/Roboto</t>
        </is>
      </c>
      <c r="F49" t="inlineStr">
        <is>
          <t>1px solid #DDD</t>
        </is>
      </c>
      <c r="G49" t="inlineStr">
        <is>
          <t>0 2px 4px rgba(0,0,0,.1)</t>
        </is>
      </c>
      <c r="H49" t="inlineStr">
        <is>
          <t>废弃</t>
        </is>
      </c>
      <c r="I49" t="inlineStr">
        <is>
          <t>组件备注 5</t>
        </is>
      </c>
    </row>
    <row r="50">
      <c r="A50" t="inlineStr">
        <is>
          <t>开关-06</t>
        </is>
      </c>
      <c r="B50" t="inlineStr">
        <is>
          <t>开关</t>
        </is>
      </c>
      <c r="C50" t="inlineStr">
        <is>
          <t>90x32</t>
        </is>
      </c>
      <c r="D50" t="inlineStr">
        <is>
          <t>#4977C9</t>
        </is>
      </c>
      <c r="E50" t="inlineStr">
        <is>
          <t>14px/Roboto</t>
        </is>
      </c>
      <c r="F50" t="inlineStr">
        <is>
          <t>1px solid #DDD</t>
        </is>
      </c>
      <c r="G50" t="inlineStr">
        <is>
          <t>无</t>
        </is>
      </c>
      <c r="H50" t="inlineStr">
        <is>
          <t>待定</t>
        </is>
      </c>
      <c r="I50" t="inlineStr">
        <is>
          <t>组件备注 6</t>
        </is>
      </c>
    </row>
    <row r="51">
      <c r="A51" t="inlineStr">
        <is>
          <t>标签-07</t>
        </is>
      </c>
      <c r="B51" t="inlineStr">
        <is>
          <t>标签</t>
        </is>
      </c>
      <c r="C51" t="inlineStr">
        <is>
          <t>92x32</t>
        </is>
      </c>
      <c r="D51" t="inlineStr">
        <is>
          <t>#4A78CA</t>
        </is>
      </c>
      <c r="E51" t="inlineStr">
        <is>
          <t>14px/Roboto</t>
        </is>
      </c>
      <c r="F51" t="inlineStr">
        <is>
          <t>1px solid #DDD</t>
        </is>
      </c>
      <c r="G51" t="inlineStr">
        <is>
          <t>0 2px 4px rgba(0,0,0,.1)</t>
        </is>
      </c>
      <c r="H51" t="inlineStr">
        <is>
          <t>确定</t>
        </is>
      </c>
      <c r="I51" t="inlineStr">
        <is>
          <t>组件备注 7</t>
        </is>
      </c>
    </row>
    <row r="52">
      <c r="A52" t="inlineStr">
        <is>
          <t>卡片-08</t>
        </is>
      </c>
      <c r="B52" t="inlineStr">
        <is>
          <t>卡片</t>
        </is>
      </c>
      <c r="C52" t="inlineStr">
        <is>
          <t>94x32</t>
        </is>
      </c>
      <c r="D52" t="inlineStr">
        <is>
          <t>#4B79CB</t>
        </is>
      </c>
      <c r="E52" t="inlineStr">
        <is>
          <t>14px/Roboto</t>
        </is>
      </c>
      <c r="F52" t="inlineStr">
        <is>
          <t>1px solid #DDD</t>
        </is>
      </c>
      <c r="G52" t="inlineStr">
        <is>
          <t>无</t>
        </is>
      </c>
      <c r="H52" t="inlineStr">
        <is>
          <t>废弃</t>
        </is>
      </c>
      <c r="I52" t="inlineStr">
        <is>
          <t>组件备注 8</t>
        </is>
      </c>
    </row>
    <row r="53">
      <c r="A53" t="inlineStr">
        <is>
          <t>对话框-09</t>
        </is>
      </c>
      <c r="B53" t="inlineStr">
        <is>
          <t>对话框</t>
        </is>
      </c>
      <c r="C53" t="inlineStr">
        <is>
          <t>96x32</t>
        </is>
      </c>
      <c r="D53" t="inlineStr">
        <is>
          <t>#4C7ACC</t>
        </is>
      </c>
      <c r="E53" t="inlineStr">
        <is>
          <t>14px/Roboto</t>
        </is>
      </c>
      <c r="F53" t="inlineStr">
        <is>
          <t>1px solid #DDD</t>
        </is>
      </c>
      <c r="G53" t="inlineStr">
        <is>
          <t>0 2px 4px rgba(0,0,0,.1)</t>
        </is>
      </c>
      <c r="H53" t="inlineStr">
        <is>
          <t>待定</t>
        </is>
      </c>
      <c r="I53" t="inlineStr">
        <is>
          <t>组件备注 9</t>
        </is>
      </c>
    </row>
    <row r="54">
      <c r="A54" t="inlineStr">
        <is>
          <t>抽屉-10</t>
        </is>
      </c>
      <c r="B54" t="inlineStr">
        <is>
          <t>抽屉</t>
        </is>
      </c>
      <c r="C54" t="inlineStr">
        <is>
          <t>98x32</t>
        </is>
      </c>
      <c r="D54" t="inlineStr">
        <is>
          <t>#4D7BCD</t>
        </is>
      </c>
      <c r="E54" t="inlineStr">
        <is>
          <t>14px/Roboto</t>
        </is>
      </c>
      <c r="F54" t="inlineStr">
        <is>
          <t>1px solid #DDD</t>
        </is>
      </c>
      <c r="G54" t="inlineStr">
        <is>
          <t>无</t>
        </is>
      </c>
      <c r="H54" t="inlineStr">
        <is>
          <t>确定</t>
        </is>
      </c>
      <c r="I54" t="inlineStr">
        <is>
          <t>组件备注 10</t>
        </is>
      </c>
    </row>
    <row r="55">
      <c r="A55" t="inlineStr">
        <is>
          <t>表格-11</t>
        </is>
      </c>
      <c r="B55" t="inlineStr">
        <is>
          <t>表格</t>
        </is>
      </c>
      <c r="C55" t="inlineStr">
        <is>
          <t>100x32</t>
        </is>
      </c>
      <c r="D55" t="inlineStr">
        <is>
          <t>#4E7CCE</t>
        </is>
      </c>
      <c r="E55" t="inlineStr">
        <is>
          <t>14px/Roboto</t>
        </is>
      </c>
      <c r="F55" t="inlineStr">
        <is>
          <t>1px solid #DDD</t>
        </is>
      </c>
      <c r="G55" t="inlineStr">
        <is>
          <t>0 2px 4px rgba(0,0,0,.1)</t>
        </is>
      </c>
      <c r="H55" t="inlineStr">
        <is>
          <t>废弃</t>
        </is>
      </c>
      <c r="I55" t="inlineStr">
        <is>
          <t>组件备注 11</t>
        </is>
      </c>
    </row>
    <row r="56">
      <c r="A56" t="inlineStr">
        <is>
          <t>分页-12</t>
        </is>
      </c>
      <c r="B56" t="inlineStr">
        <is>
          <t>分页</t>
        </is>
      </c>
      <c r="C56" t="inlineStr">
        <is>
          <t>102x32</t>
        </is>
      </c>
      <c r="D56" t="inlineStr">
        <is>
          <t>#4F7DCF</t>
        </is>
      </c>
      <c r="E56" t="inlineStr">
        <is>
          <t>14px/Roboto</t>
        </is>
      </c>
      <c r="F56" t="inlineStr">
        <is>
          <t>1px solid #DDD</t>
        </is>
      </c>
      <c r="G56" t="inlineStr">
        <is>
          <t>无</t>
        </is>
      </c>
      <c r="H56" t="inlineStr">
        <is>
          <t>待定</t>
        </is>
      </c>
      <c r="I56" t="inlineStr">
        <is>
          <t>组件备注 12</t>
        </is>
      </c>
    </row>
    <row r="57">
      <c r="A57" t="inlineStr">
        <is>
          <t>导航-13</t>
        </is>
      </c>
      <c r="B57" t="inlineStr">
        <is>
          <t>导航</t>
        </is>
      </c>
      <c r="C57" t="inlineStr">
        <is>
          <t>104x32</t>
        </is>
      </c>
      <c r="D57" t="inlineStr">
        <is>
          <t>#507ED0</t>
        </is>
      </c>
      <c r="E57" t="inlineStr">
        <is>
          <t>14px/Roboto</t>
        </is>
      </c>
      <c r="F57" t="inlineStr">
        <is>
          <t>1px solid #DDD</t>
        </is>
      </c>
      <c r="G57" t="inlineStr">
        <is>
          <t>0 2px 4px rgba(0,0,0,.1)</t>
        </is>
      </c>
      <c r="H57" t="inlineStr">
        <is>
          <t>确定</t>
        </is>
      </c>
      <c r="I57" t="inlineStr">
        <is>
          <t>组件备注 13</t>
        </is>
      </c>
    </row>
    <row r="58">
      <c r="A58" t="inlineStr">
        <is>
          <t>菜单-14</t>
        </is>
      </c>
      <c r="B58" t="inlineStr">
        <is>
          <t>菜单</t>
        </is>
      </c>
      <c r="C58" t="inlineStr">
        <is>
          <t>106x32</t>
        </is>
      </c>
      <c r="D58" t="inlineStr">
        <is>
          <t>#517FD1</t>
        </is>
      </c>
      <c r="E58" t="inlineStr">
        <is>
          <t>14px/Roboto</t>
        </is>
      </c>
      <c r="F58" t="inlineStr">
        <is>
          <t>1px solid #DDD</t>
        </is>
      </c>
      <c r="G58" t="inlineStr">
        <is>
          <t>无</t>
        </is>
      </c>
      <c r="H58" t="inlineStr">
        <is>
          <t>废弃</t>
        </is>
      </c>
      <c r="I58" t="inlineStr">
        <is>
          <t>组件备注 14</t>
        </is>
      </c>
    </row>
    <row r="59">
      <c r="A59" t="inlineStr">
        <is>
          <t>提示-15</t>
        </is>
      </c>
      <c r="B59" t="inlineStr">
        <is>
          <t>提示</t>
        </is>
      </c>
      <c r="C59" t="inlineStr">
        <is>
          <t>108x32</t>
        </is>
      </c>
      <c r="D59" t="inlineStr">
        <is>
          <t>#5280D2</t>
        </is>
      </c>
      <c r="E59" t="inlineStr">
        <is>
          <t>14px/Roboto</t>
        </is>
      </c>
      <c r="F59" t="inlineStr">
        <is>
          <t>1px solid #DDD</t>
        </is>
      </c>
      <c r="G59" t="inlineStr">
        <is>
          <t>0 2px 4px rgba(0,0,0,.1)</t>
        </is>
      </c>
      <c r="H59" t="inlineStr">
        <is>
          <t>待定</t>
        </is>
      </c>
      <c r="I59" t="inlineStr">
        <is>
          <t>组件备注 15</t>
        </is>
      </c>
    </row>
    <row r="60">
      <c r="A60" t="inlineStr">
        <is>
          <t>徽标-16</t>
        </is>
      </c>
      <c r="B60" t="inlineStr">
        <is>
          <t>徽标</t>
        </is>
      </c>
      <c r="C60" t="inlineStr">
        <is>
          <t>110x32</t>
        </is>
      </c>
      <c r="D60" t="inlineStr">
        <is>
          <t>#5381D3</t>
        </is>
      </c>
      <c r="E60" t="inlineStr">
        <is>
          <t>14px/Roboto</t>
        </is>
      </c>
      <c r="F60" t="inlineStr">
        <is>
          <t>1px solid #DDD</t>
        </is>
      </c>
      <c r="G60" t="inlineStr">
        <is>
          <t>无</t>
        </is>
      </c>
      <c r="H60" t="inlineStr">
        <is>
          <t>确定</t>
        </is>
      </c>
      <c r="I60" t="inlineStr">
        <is>
          <t>组件备注 16</t>
        </is>
      </c>
    </row>
    <row r="61">
      <c r="A61" t="inlineStr">
        <is>
          <t>头像-17</t>
        </is>
      </c>
      <c r="B61" t="inlineStr">
        <is>
          <t>头像</t>
        </is>
      </c>
      <c r="C61" t="inlineStr">
        <is>
          <t>112x32</t>
        </is>
      </c>
      <c r="D61" t="inlineStr">
        <is>
          <t>#5482D4</t>
        </is>
      </c>
      <c r="E61" t="inlineStr">
        <is>
          <t>14px/Roboto</t>
        </is>
      </c>
      <c r="F61" t="inlineStr">
        <is>
          <t>1px solid #DDD</t>
        </is>
      </c>
      <c r="G61" t="inlineStr">
        <is>
          <t>0 2px 4px rgba(0,0,0,.1)</t>
        </is>
      </c>
      <c r="H61" t="inlineStr">
        <is>
          <t>废弃</t>
        </is>
      </c>
      <c r="I61" t="inlineStr">
        <is>
          <t>组件备注 17</t>
        </is>
      </c>
    </row>
    <row r="62">
      <c r="A62" t="inlineStr">
        <is>
          <t>进度条-18</t>
        </is>
      </c>
      <c r="B62" t="inlineStr">
        <is>
          <t>进度条</t>
        </is>
      </c>
      <c r="C62" t="inlineStr">
        <is>
          <t>114x32</t>
        </is>
      </c>
      <c r="D62" t="inlineStr">
        <is>
          <t>#5583D5</t>
        </is>
      </c>
      <c r="E62" t="inlineStr">
        <is>
          <t>14px/Roboto</t>
        </is>
      </c>
      <c r="F62" t="inlineStr">
        <is>
          <t>1px solid #DDD</t>
        </is>
      </c>
      <c r="G62" t="inlineStr">
        <is>
          <t>无</t>
        </is>
      </c>
      <c r="H62" t="inlineStr">
        <is>
          <t>待定</t>
        </is>
      </c>
      <c r="I62" t="inlineStr">
        <is>
          <t>组件备注 18</t>
        </is>
      </c>
    </row>
    <row r="63">
      <c r="A63" t="inlineStr">
        <is>
          <t>骨架-19</t>
        </is>
      </c>
      <c r="B63" t="inlineStr">
        <is>
          <t>骨架</t>
        </is>
      </c>
      <c r="C63" t="inlineStr">
        <is>
          <t>116x32</t>
        </is>
      </c>
      <c r="D63" t="inlineStr">
        <is>
          <t>#5684D6</t>
        </is>
      </c>
      <c r="E63" t="inlineStr">
        <is>
          <t>14px/Roboto</t>
        </is>
      </c>
      <c r="F63" t="inlineStr">
        <is>
          <t>1px solid #DDD</t>
        </is>
      </c>
      <c r="G63" t="inlineStr">
        <is>
          <t>0 2px 4px rgba(0,0,0,.1)</t>
        </is>
      </c>
      <c r="H63" t="inlineStr">
        <is>
          <t>确定</t>
        </is>
      </c>
      <c r="I63" t="inlineStr">
        <is>
          <t>组件备注 19</t>
        </is>
      </c>
    </row>
    <row r="64">
      <c r="A64" t="inlineStr">
        <is>
          <t>空状态-20</t>
        </is>
      </c>
      <c r="B64" t="inlineStr">
        <is>
          <t>空状态</t>
        </is>
      </c>
      <c r="C64" t="inlineStr">
        <is>
          <t>118x32</t>
        </is>
      </c>
      <c r="D64" t="inlineStr">
        <is>
          <t>#5785D7</t>
        </is>
      </c>
      <c r="E64" t="inlineStr">
        <is>
          <t>14px/Roboto</t>
        </is>
      </c>
      <c r="F64" t="inlineStr">
        <is>
          <t>1px solid #DDD</t>
        </is>
      </c>
      <c r="G64" t="inlineStr">
        <is>
          <t>无</t>
        </is>
      </c>
      <c r="H64" t="inlineStr">
        <is>
          <t>废弃</t>
        </is>
      </c>
      <c r="I64" t="inlineStr">
        <is>
          <t>组件备注 20</t>
        </is>
      </c>
    </row>
    <row r="65">
      <c r="A65" t="inlineStr">
        <is>
          <t>按钮-21</t>
        </is>
      </c>
      <c r="B65" t="inlineStr">
        <is>
          <t>按钮</t>
        </is>
      </c>
      <c r="C65" t="inlineStr">
        <is>
          <t>120x32</t>
        </is>
      </c>
      <c r="D65" t="inlineStr">
        <is>
          <t>#5886D8</t>
        </is>
      </c>
      <c r="E65" t="inlineStr">
        <is>
          <t>14px/Roboto</t>
        </is>
      </c>
      <c r="F65" t="inlineStr">
        <is>
          <t>1px solid #DDD</t>
        </is>
      </c>
      <c r="G65" t="inlineStr">
        <is>
          <t>0 2px 4px rgba(0,0,0,.1)</t>
        </is>
      </c>
      <c r="H65" t="inlineStr">
        <is>
          <t>待定</t>
        </is>
      </c>
      <c r="I65" t="inlineStr">
        <is>
          <t>组件备注 21</t>
        </is>
      </c>
    </row>
    <row r="66">
      <c r="A66" t="inlineStr">
        <is>
          <t>输入框-22</t>
        </is>
      </c>
      <c r="B66" t="inlineStr">
        <is>
          <t>输入框</t>
        </is>
      </c>
      <c r="C66" t="inlineStr">
        <is>
          <t>122x32</t>
        </is>
      </c>
      <c r="D66" t="inlineStr">
        <is>
          <t>#5987D9</t>
        </is>
      </c>
      <c r="E66" t="inlineStr">
        <is>
          <t>14px/Roboto</t>
        </is>
      </c>
      <c r="F66" t="inlineStr">
        <is>
          <t>1px solid #DDD</t>
        </is>
      </c>
      <c r="G66" t="inlineStr">
        <is>
          <t>无</t>
        </is>
      </c>
      <c r="H66" t="inlineStr">
        <is>
          <t>确定</t>
        </is>
      </c>
      <c r="I66" t="inlineStr">
        <is>
          <t>组件备注 22</t>
        </is>
      </c>
    </row>
    <row r="67">
      <c r="A67" t="inlineStr">
        <is>
          <t>选择器-23</t>
        </is>
      </c>
      <c r="B67" t="inlineStr">
        <is>
          <t>选择器</t>
        </is>
      </c>
      <c r="C67" t="inlineStr">
        <is>
          <t>124x32</t>
        </is>
      </c>
      <c r="D67" t="inlineStr">
        <is>
          <t>#5A88DA</t>
        </is>
      </c>
      <c r="E67" t="inlineStr">
        <is>
          <t>14px/Roboto</t>
        </is>
      </c>
      <c r="F67" t="inlineStr">
        <is>
          <t>1px solid #DDD</t>
        </is>
      </c>
      <c r="G67" t="inlineStr">
        <is>
          <t>0 2px 4px rgba(0,0,0,.1)</t>
        </is>
      </c>
      <c r="H67" t="inlineStr">
        <is>
          <t>废弃</t>
        </is>
      </c>
      <c r="I67" t="inlineStr">
        <is>
          <t>组件备注 23</t>
        </is>
      </c>
    </row>
    <row r="68">
      <c r="A68" t="inlineStr">
        <is>
          <t>复选框-24</t>
        </is>
      </c>
      <c r="B68" t="inlineStr">
        <is>
          <t>复选框</t>
        </is>
      </c>
      <c r="C68" t="inlineStr">
        <is>
          <t>126x32</t>
        </is>
      </c>
      <c r="D68" t="inlineStr">
        <is>
          <t>#5B89DB</t>
        </is>
      </c>
      <c r="E68" t="inlineStr">
        <is>
          <t>14px/Roboto</t>
        </is>
      </c>
      <c r="F68" t="inlineStr">
        <is>
          <t>1px solid #DDD</t>
        </is>
      </c>
      <c r="G68" t="inlineStr">
        <is>
          <t>无</t>
        </is>
      </c>
      <c r="H68" t="inlineStr">
        <is>
          <t>待定</t>
        </is>
      </c>
      <c r="I68" t="inlineStr">
        <is>
          <t>组件备注 24</t>
        </is>
      </c>
    </row>
    <row r="69">
      <c r="A69" t="inlineStr">
        <is>
          <t>单选框-25</t>
        </is>
      </c>
      <c r="B69" t="inlineStr">
        <is>
          <t>单选框</t>
        </is>
      </c>
      <c r="C69" t="inlineStr">
        <is>
          <t>128x32</t>
        </is>
      </c>
      <c r="D69" t="inlineStr">
        <is>
          <t>#5C8ADC</t>
        </is>
      </c>
      <c r="E69" t="inlineStr">
        <is>
          <t>14px/Roboto</t>
        </is>
      </c>
      <c r="F69" t="inlineStr">
        <is>
          <t>1px solid #DDD</t>
        </is>
      </c>
      <c r="G69" t="inlineStr">
        <is>
          <t>0 2px 4px rgba(0,0,0,.1)</t>
        </is>
      </c>
      <c r="H69" t="inlineStr">
        <is>
          <t>确定</t>
        </is>
      </c>
      <c r="I69" t="inlineStr">
        <is>
          <t>组件备注 25</t>
        </is>
      </c>
    </row>
    <row r="70">
      <c r="A70" t="inlineStr">
        <is>
          <t>开关-26</t>
        </is>
      </c>
      <c r="B70" t="inlineStr">
        <is>
          <t>开关</t>
        </is>
      </c>
      <c r="C70" t="inlineStr">
        <is>
          <t>130x32</t>
        </is>
      </c>
      <c r="D70" t="inlineStr">
        <is>
          <t>#5D8BDD</t>
        </is>
      </c>
      <c r="E70" t="inlineStr">
        <is>
          <t>14px/Roboto</t>
        </is>
      </c>
      <c r="F70" t="inlineStr">
        <is>
          <t>1px solid #DDD</t>
        </is>
      </c>
      <c r="G70" t="inlineStr">
        <is>
          <t>无</t>
        </is>
      </c>
      <c r="H70" t="inlineStr">
        <is>
          <t>废弃</t>
        </is>
      </c>
      <c r="I70" t="inlineStr">
        <is>
          <t>组件备注 26</t>
        </is>
      </c>
    </row>
    <row r="71">
      <c r="A71" t="inlineStr">
        <is>
          <t>标签-27</t>
        </is>
      </c>
      <c r="B71" t="inlineStr">
        <is>
          <t>标签</t>
        </is>
      </c>
      <c r="C71" t="inlineStr">
        <is>
          <t>132x32</t>
        </is>
      </c>
      <c r="D71" t="inlineStr">
        <is>
          <t>#5E8CDE</t>
        </is>
      </c>
      <c r="E71" t="inlineStr">
        <is>
          <t>14px/Roboto</t>
        </is>
      </c>
      <c r="F71" t="inlineStr">
        <is>
          <t>1px solid #DDD</t>
        </is>
      </c>
      <c r="G71" t="inlineStr">
        <is>
          <t>0 2px 4px rgba(0,0,0,.1)</t>
        </is>
      </c>
      <c r="H71" t="inlineStr">
        <is>
          <t>待定</t>
        </is>
      </c>
      <c r="I71" t="inlineStr">
        <is>
          <t>组件备注 27</t>
        </is>
      </c>
    </row>
    <row r="72">
      <c r="A72" t="inlineStr">
        <is>
          <t>卡片-28</t>
        </is>
      </c>
      <c r="B72" t="inlineStr">
        <is>
          <t>卡片</t>
        </is>
      </c>
      <c r="C72" t="inlineStr">
        <is>
          <t>134x32</t>
        </is>
      </c>
      <c r="D72" t="inlineStr">
        <is>
          <t>#5F8DDF</t>
        </is>
      </c>
      <c r="E72" t="inlineStr">
        <is>
          <t>14px/Roboto</t>
        </is>
      </c>
      <c r="F72" t="inlineStr">
        <is>
          <t>1px solid #DDD</t>
        </is>
      </c>
      <c r="G72" t="inlineStr">
        <is>
          <t>无</t>
        </is>
      </c>
      <c r="H72" t="inlineStr">
        <is>
          <t>确定</t>
        </is>
      </c>
      <c r="I72" t="inlineStr">
        <is>
          <t>组件备注 28</t>
        </is>
      </c>
    </row>
    <row r="73">
      <c r="A73" t="inlineStr">
        <is>
          <t>对话框-29</t>
        </is>
      </c>
      <c r="B73" t="inlineStr">
        <is>
          <t>对话框</t>
        </is>
      </c>
      <c r="C73" t="inlineStr">
        <is>
          <t>136x32</t>
        </is>
      </c>
      <c r="D73" t="inlineStr">
        <is>
          <t>#608EE0</t>
        </is>
      </c>
      <c r="E73" t="inlineStr">
        <is>
          <t>14px/Roboto</t>
        </is>
      </c>
      <c r="F73" t="inlineStr">
        <is>
          <t>1px solid #DDD</t>
        </is>
      </c>
      <c r="G73" t="inlineStr">
        <is>
          <t>0 2px 4px rgba(0,0,0,.1)</t>
        </is>
      </c>
      <c r="H73" t="inlineStr">
        <is>
          <t>废弃</t>
        </is>
      </c>
      <c r="I73" t="inlineStr">
        <is>
          <t>组件备注 29</t>
        </is>
      </c>
    </row>
    <row r="74">
      <c r="A74" t="inlineStr">
        <is>
          <t>抽屉-30</t>
        </is>
      </c>
      <c r="B74" t="inlineStr">
        <is>
          <t>抽屉</t>
        </is>
      </c>
      <c r="C74" t="inlineStr">
        <is>
          <t>138x32</t>
        </is>
      </c>
      <c r="D74" t="inlineStr">
        <is>
          <t>#618FE1</t>
        </is>
      </c>
      <c r="E74" t="inlineStr">
        <is>
          <t>14px/Roboto</t>
        </is>
      </c>
      <c r="F74" t="inlineStr">
        <is>
          <t>1px solid #DDD</t>
        </is>
      </c>
      <c r="G74" t="inlineStr">
        <is>
          <t>无</t>
        </is>
      </c>
      <c r="H74" t="inlineStr">
        <is>
          <t>待定</t>
        </is>
      </c>
      <c r="I74" t="inlineStr">
        <is>
          <t>组件备注 30</t>
        </is>
      </c>
    </row>
    <row r="75">
      <c r="A75" t="inlineStr">
        <is>
          <t>表格-31</t>
        </is>
      </c>
      <c r="B75" t="inlineStr">
        <is>
          <t>表格</t>
        </is>
      </c>
      <c r="C75" t="inlineStr">
        <is>
          <t>140x32</t>
        </is>
      </c>
      <c r="D75" t="inlineStr">
        <is>
          <t>#6290E2</t>
        </is>
      </c>
      <c r="E75" t="inlineStr">
        <is>
          <t>14px/Roboto</t>
        </is>
      </c>
      <c r="F75" t="inlineStr">
        <is>
          <t>1px solid #DDD</t>
        </is>
      </c>
      <c r="G75" t="inlineStr">
        <is>
          <t>0 2px 4px rgba(0,0,0,.1)</t>
        </is>
      </c>
      <c r="H75" t="inlineStr">
        <is>
          <t>确定</t>
        </is>
      </c>
      <c r="I75" t="inlineStr">
        <is>
          <t>组件备注 31</t>
        </is>
      </c>
    </row>
    <row r="76">
      <c r="A76" t="inlineStr">
        <is>
          <t>分页-32</t>
        </is>
      </c>
      <c r="B76" t="inlineStr">
        <is>
          <t>分页</t>
        </is>
      </c>
      <c r="C76" t="inlineStr">
        <is>
          <t>142x32</t>
        </is>
      </c>
      <c r="D76" t="inlineStr">
        <is>
          <t>#6391E3</t>
        </is>
      </c>
      <c r="E76" t="inlineStr">
        <is>
          <t>14px/Roboto</t>
        </is>
      </c>
      <c r="F76" t="inlineStr">
        <is>
          <t>1px solid #DDD</t>
        </is>
      </c>
      <c r="G76" t="inlineStr">
        <is>
          <t>无</t>
        </is>
      </c>
      <c r="H76" t="inlineStr">
        <is>
          <t>废弃</t>
        </is>
      </c>
      <c r="I76" t="inlineStr">
        <is>
          <t>组件备注 32</t>
        </is>
      </c>
    </row>
    <row r="77">
      <c r="A77" t="inlineStr">
        <is>
          <t>导航-33</t>
        </is>
      </c>
      <c r="B77" t="inlineStr">
        <is>
          <t>导航</t>
        </is>
      </c>
      <c r="C77" t="inlineStr">
        <is>
          <t>144x32</t>
        </is>
      </c>
      <c r="D77" t="inlineStr">
        <is>
          <t>#6492E4</t>
        </is>
      </c>
      <c r="E77" t="inlineStr">
        <is>
          <t>14px/Roboto</t>
        </is>
      </c>
      <c r="F77" t="inlineStr">
        <is>
          <t>1px solid #DDD</t>
        </is>
      </c>
      <c r="G77" t="inlineStr">
        <is>
          <t>0 2px 4px rgba(0,0,0,.1)</t>
        </is>
      </c>
      <c r="H77" t="inlineStr">
        <is>
          <t>待定</t>
        </is>
      </c>
      <c r="I77" t="inlineStr">
        <is>
          <t>组件备注 33</t>
        </is>
      </c>
    </row>
    <row r="78">
      <c r="A78" t="inlineStr">
        <is>
          <t>菜单-34</t>
        </is>
      </c>
      <c r="B78" t="inlineStr">
        <is>
          <t>菜单</t>
        </is>
      </c>
      <c r="C78" t="inlineStr">
        <is>
          <t>146x32</t>
        </is>
      </c>
      <c r="D78" t="inlineStr">
        <is>
          <t>#6593E5</t>
        </is>
      </c>
      <c r="E78" t="inlineStr">
        <is>
          <t>14px/Roboto</t>
        </is>
      </c>
      <c r="F78" t="inlineStr">
        <is>
          <t>1px solid #DDD</t>
        </is>
      </c>
      <c r="G78" t="inlineStr">
        <is>
          <t>无</t>
        </is>
      </c>
      <c r="H78" t="inlineStr">
        <is>
          <t>确定</t>
        </is>
      </c>
      <c r="I78" t="inlineStr">
        <is>
          <t>组件备注 34</t>
        </is>
      </c>
    </row>
    <row r="79">
      <c r="A79" t="inlineStr">
        <is>
          <t>提示-35</t>
        </is>
      </c>
      <c r="B79" t="inlineStr">
        <is>
          <t>提示</t>
        </is>
      </c>
      <c r="C79" t="inlineStr">
        <is>
          <t>148x32</t>
        </is>
      </c>
      <c r="D79" t="inlineStr">
        <is>
          <t>#6694E6</t>
        </is>
      </c>
      <c r="E79" t="inlineStr">
        <is>
          <t>14px/Roboto</t>
        </is>
      </c>
      <c r="F79" t="inlineStr">
        <is>
          <t>1px solid #DDD</t>
        </is>
      </c>
      <c r="G79" t="inlineStr">
        <is>
          <t>0 2px 4px rgba(0,0,0,.1)</t>
        </is>
      </c>
      <c r="H79" t="inlineStr">
        <is>
          <t>废弃</t>
        </is>
      </c>
      <c r="I79" t="inlineStr">
        <is>
          <t>组件备注 35</t>
        </is>
      </c>
    </row>
    <row r="80">
      <c r="A80" t="inlineStr">
        <is>
          <t>徽标-36</t>
        </is>
      </c>
      <c r="B80" t="inlineStr">
        <is>
          <t>徽标</t>
        </is>
      </c>
      <c r="C80" t="inlineStr">
        <is>
          <t>150x32</t>
        </is>
      </c>
      <c r="D80" t="inlineStr">
        <is>
          <t>#6795E7</t>
        </is>
      </c>
      <c r="E80" t="inlineStr">
        <is>
          <t>14px/Roboto</t>
        </is>
      </c>
      <c r="F80" t="inlineStr">
        <is>
          <t>1px solid #DDD</t>
        </is>
      </c>
      <c r="G80" t="inlineStr">
        <is>
          <t>无</t>
        </is>
      </c>
      <c r="H80" t="inlineStr">
        <is>
          <t>待定</t>
        </is>
      </c>
      <c r="I80" t="inlineStr">
        <is>
          <t>组件备注 36</t>
        </is>
      </c>
    </row>
    <row r="81">
      <c r="A81" t="inlineStr">
        <is>
          <t>头像-37</t>
        </is>
      </c>
      <c r="B81" t="inlineStr">
        <is>
          <t>头像</t>
        </is>
      </c>
      <c r="C81" t="inlineStr">
        <is>
          <t>152x32</t>
        </is>
      </c>
      <c r="D81" t="inlineStr">
        <is>
          <t>#6896E8</t>
        </is>
      </c>
      <c r="E81" t="inlineStr">
        <is>
          <t>14px/Roboto</t>
        </is>
      </c>
      <c r="F81" t="inlineStr">
        <is>
          <t>1px solid #DDD</t>
        </is>
      </c>
      <c r="G81" t="inlineStr">
        <is>
          <t>0 2px 4px rgba(0,0,0,.1)</t>
        </is>
      </c>
      <c r="H81" t="inlineStr">
        <is>
          <t>确定</t>
        </is>
      </c>
      <c r="I81" t="inlineStr">
        <is>
          <t>组件备注 37</t>
        </is>
      </c>
    </row>
    <row r="82">
      <c r="A82" t="inlineStr">
        <is>
          <t>进度条-38</t>
        </is>
      </c>
      <c r="B82" t="inlineStr">
        <is>
          <t>进度条</t>
        </is>
      </c>
      <c r="C82" t="inlineStr">
        <is>
          <t>154x32</t>
        </is>
      </c>
      <c r="D82" t="inlineStr">
        <is>
          <t>#6997E9</t>
        </is>
      </c>
      <c r="E82" t="inlineStr">
        <is>
          <t>14px/Roboto</t>
        </is>
      </c>
      <c r="F82" t="inlineStr">
        <is>
          <t>1px solid #DDD</t>
        </is>
      </c>
      <c r="G82" t="inlineStr">
        <is>
          <t>无</t>
        </is>
      </c>
      <c r="H82" t="inlineStr">
        <is>
          <t>废弃</t>
        </is>
      </c>
      <c r="I82" t="inlineStr">
        <is>
          <t>组件备注 38</t>
        </is>
      </c>
    </row>
    <row r="83">
      <c r="A83" t="inlineStr">
        <is>
          <t>骨架-39</t>
        </is>
      </c>
      <c r="B83" t="inlineStr">
        <is>
          <t>骨架</t>
        </is>
      </c>
      <c r="C83" t="inlineStr">
        <is>
          <t>156x32</t>
        </is>
      </c>
      <c r="D83" t="inlineStr">
        <is>
          <t>#6A98EA</t>
        </is>
      </c>
      <c r="E83" t="inlineStr">
        <is>
          <t>14px/Roboto</t>
        </is>
      </c>
      <c r="F83" t="inlineStr">
        <is>
          <t>1px solid #DDD</t>
        </is>
      </c>
      <c r="G83" t="inlineStr">
        <is>
          <t>0 2px 4px rgba(0,0,0,.1)</t>
        </is>
      </c>
      <c r="H83" t="inlineStr">
        <is>
          <t>待定</t>
        </is>
      </c>
      <c r="I83" t="inlineStr">
        <is>
          <t>组件备注 39</t>
        </is>
      </c>
    </row>
    <row r="84">
      <c r="A84" t="inlineStr">
        <is>
          <t>空状态-40</t>
        </is>
      </c>
      <c r="B84" t="inlineStr">
        <is>
          <t>空状态</t>
        </is>
      </c>
      <c r="C84" t="inlineStr">
        <is>
          <t>158x32</t>
        </is>
      </c>
      <c r="D84" t="inlineStr">
        <is>
          <t>#6B99EB</t>
        </is>
      </c>
      <c r="E84" t="inlineStr">
        <is>
          <t>14px/Roboto</t>
        </is>
      </c>
      <c r="F84" t="inlineStr">
        <is>
          <t>1px solid #DDD</t>
        </is>
      </c>
      <c r="G84" t="inlineStr">
        <is>
          <t>无</t>
        </is>
      </c>
      <c r="H84" t="inlineStr">
        <is>
          <t>确定</t>
        </is>
      </c>
      <c r="I84" t="inlineStr">
        <is>
          <t>组件备注 40</t>
        </is>
      </c>
    </row>
    <row r="85">
      <c r="A85" t="inlineStr">
        <is>
          <t>按钮-41</t>
        </is>
      </c>
      <c r="B85" t="inlineStr">
        <is>
          <t>按钮</t>
        </is>
      </c>
      <c r="C85" t="inlineStr">
        <is>
          <t>160x32</t>
        </is>
      </c>
      <c r="D85" t="inlineStr">
        <is>
          <t>#6C9AEC</t>
        </is>
      </c>
      <c r="E85" t="inlineStr">
        <is>
          <t>14px/Roboto</t>
        </is>
      </c>
      <c r="F85" t="inlineStr">
        <is>
          <t>1px solid #DDD</t>
        </is>
      </c>
      <c r="G85" t="inlineStr">
        <is>
          <t>0 2px 4px rgba(0,0,0,.1)</t>
        </is>
      </c>
      <c r="H85" t="inlineStr">
        <is>
          <t>废弃</t>
        </is>
      </c>
      <c r="I85" t="inlineStr">
        <is>
          <t>组件备注 41</t>
        </is>
      </c>
    </row>
    <row r="86">
      <c r="A86" t="inlineStr">
        <is>
          <t>输入框-42</t>
        </is>
      </c>
      <c r="B86" t="inlineStr">
        <is>
          <t>输入框</t>
        </is>
      </c>
      <c r="C86" t="inlineStr">
        <is>
          <t>162x32</t>
        </is>
      </c>
      <c r="D86" t="inlineStr">
        <is>
          <t>#6D9BED</t>
        </is>
      </c>
      <c r="E86" t="inlineStr">
        <is>
          <t>14px/Roboto</t>
        </is>
      </c>
      <c r="F86" t="inlineStr">
        <is>
          <t>1px solid #DDD</t>
        </is>
      </c>
      <c r="G86" t="inlineStr">
        <is>
          <t>无</t>
        </is>
      </c>
      <c r="H86" t="inlineStr">
        <is>
          <t>待定</t>
        </is>
      </c>
      <c r="I86" t="inlineStr">
        <is>
          <t>组件备注 42</t>
        </is>
      </c>
    </row>
    <row r="87">
      <c r="A87" t="inlineStr">
        <is>
          <t>选择器-43</t>
        </is>
      </c>
      <c r="B87" t="inlineStr">
        <is>
          <t>选择器</t>
        </is>
      </c>
      <c r="C87" t="inlineStr">
        <is>
          <t>164x32</t>
        </is>
      </c>
      <c r="D87" t="inlineStr">
        <is>
          <t>#6E9CEE</t>
        </is>
      </c>
      <c r="E87" t="inlineStr">
        <is>
          <t>14px/Roboto</t>
        </is>
      </c>
      <c r="F87" t="inlineStr">
        <is>
          <t>1px solid #DDD</t>
        </is>
      </c>
      <c r="G87" t="inlineStr">
        <is>
          <t>0 2px 4px rgba(0,0,0,.1)</t>
        </is>
      </c>
      <c r="H87" t="inlineStr">
        <is>
          <t>确定</t>
        </is>
      </c>
      <c r="I87" t="inlineStr">
        <is>
          <t>组件备注 43</t>
        </is>
      </c>
    </row>
    <row r="88">
      <c r="A88" t="inlineStr">
        <is>
          <t>复选框-44</t>
        </is>
      </c>
      <c r="B88" t="inlineStr">
        <is>
          <t>复选框</t>
        </is>
      </c>
      <c r="C88" t="inlineStr">
        <is>
          <t>166x32</t>
        </is>
      </c>
      <c r="D88" t="inlineStr">
        <is>
          <t>#6F9DEF</t>
        </is>
      </c>
      <c r="E88" t="inlineStr">
        <is>
          <t>14px/Roboto</t>
        </is>
      </c>
      <c r="F88" t="inlineStr">
        <is>
          <t>1px solid #DDD</t>
        </is>
      </c>
      <c r="G88" t="inlineStr">
        <is>
          <t>无</t>
        </is>
      </c>
      <c r="H88" t="inlineStr">
        <is>
          <t>废弃</t>
        </is>
      </c>
      <c r="I88" t="inlineStr">
        <is>
          <t>组件备注 44</t>
        </is>
      </c>
    </row>
    <row r="89">
      <c r="A89" t="inlineStr">
        <is>
          <t>单选框-45</t>
        </is>
      </c>
      <c r="B89" t="inlineStr">
        <is>
          <t>单选框</t>
        </is>
      </c>
      <c r="C89" t="inlineStr">
        <is>
          <t>168x32</t>
        </is>
      </c>
      <c r="D89" t="inlineStr">
        <is>
          <t>#709EF0</t>
        </is>
      </c>
      <c r="E89" t="inlineStr">
        <is>
          <t>14px/Roboto</t>
        </is>
      </c>
      <c r="F89" t="inlineStr">
        <is>
          <t>1px solid #DDD</t>
        </is>
      </c>
      <c r="G89" t="inlineStr">
        <is>
          <t>0 2px 4px rgba(0,0,0,.1)</t>
        </is>
      </c>
      <c r="H89" t="inlineStr">
        <is>
          <t>待定</t>
        </is>
      </c>
      <c r="I89" t="inlineStr">
        <is>
          <t>组件备注 45</t>
        </is>
      </c>
    </row>
    <row r="90">
      <c r="A90" t="inlineStr">
        <is>
          <t>开关-46</t>
        </is>
      </c>
      <c r="B90" t="inlineStr">
        <is>
          <t>开关</t>
        </is>
      </c>
      <c r="C90" t="inlineStr">
        <is>
          <t>170x32</t>
        </is>
      </c>
      <c r="D90" t="inlineStr">
        <is>
          <t>#719FF1</t>
        </is>
      </c>
      <c r="E90" t="inlineStr">
        <is>
          <t>14px/Roboto</t>
        </is>
      </c>
      <c r="F90" t="inlineStr">
        <is>
          <t>1px solid #DDD</t>
        </is>
      </c>
      <c r="G90" t="inlineStr">
        <is>
          <t>无</t>
        </is>
      </c>
      <c r="H90" t="inlineStr">
        <is>
          <t>确定</t>
        </is>
      </c>
      <c r="I90" t="inlineStr">
        <is>
          <t>组件备注 46</t>
        </is>
      </c>
    </row>
    <row r="91">
      <c r="A91" t="inlineStr">
        <is>
          <t>标签-47</t>
        </is>
      </c>
      <c r="B91" t="inlineStr">
        <is>
          <t>标签</t>
        </is>
      </c>
      <c r="C91" t="inlineStr">
        <is>
          <t>172x32</t>
        </is>
      </c>
      <c r="D91" t="inlineStr">
        <is>
          <t>#72A0F2</t>
        </is>
      </c>
      <c r="E91" t="inlineStr">
        <is>
          <t>14px/Roboto</t>
        </is>
      </c>
      <c r="F91" t="inlineStr">
        <is>
          <t>1px solid #DDD</t>
        </is>
      </c>
      <c r="G91" t="inlineStr">
        <is>
          <t>0 2px 4px rgba(0,0,0,.1)</t>
        </is>
      </c>
      <c r="H91" t="inlineStr">
        <is>
          <t>废弃</t>
        </is>
      </c>
      <c r="I91" t="inlineStr">
        <is>
          <t>组件备注 47</t>
        </is>
      </c>
    </row>
    <row r="92">
      <c r="A92" t="inlineStr">
        <is>
          <t>卡片-48</t>
        </is>
      </c>
      <c r="B92" t="inlineStr">
        <is>
          <t>卡片</t>
        </is>
      </c>
      <c r="C92" t="inlineStr">
        <is>
          <t>174x32</t>
        </is>
      </c>
      <c r="D92" t="inlineStr">
        <is>
          <t>#73A1F3</t>
        </is>
      </c>
      <c r="E92" t="inlineStr">
        <is>
          <t>14px/Roboto</t>
        </is>
      </c>
      <c r="F92" t="inlineStr">
        <is>
          <t>1px solid #DDD</t>
        </is>
      </c>
      <c r="G92" t="inlineStr">
        <is>
          <t>无</t>
        </is>
      </c>
      <c r="H92" t="inlineStr">
        <is>
          <t>待定</t>
        </is>
      </c>
      <c r="I92" t="inlineStr">
        <is>
          <t>组件备注 48</t>
        </is>
      </c>
    </row>
    <row r="93">
      <c r="A93" t="inlineStr">
        <is>
          <t>对话框-49</t>
        </is>
      </c>
      <c r="B93" t="inlineStr">
        <is>
          <t>对话框</t>
        </is>
      </c>
      <c r="C93" t="inlineStr">
        <is>
          <t>176x32</t>
        </is>
      </c>
      <c r="D93" t="inlineStr">
        <is>
          <t>#74A2F4</t>
        </is>
      </c>
      <c r="E93" t="inlineStr">
        <is>
          <t>14px/Roboto</t>
        </is>
      </c>
      <c r="F93" t="inlineStr">
        <is>
          <t>1px solid #DDD</t>
        </is>
      </c>
      <c r="G93" t="inlineStr">
        <is>
          <t>0 2px 4px rgba(0,0,0,.1)</t>
        </is>
      </c>
      <c r="H93" t="inlineStr">
        <is>
          <t>确定</t>
        </is>
      </c>
      <c r="I93" t="inlineStr">
        <is>
          <t>组件备注 49</t>
        </is>
      </c>
    </row>
    <row r="94">
      <c r="A94" t="inlineStr">
        <is>
          <t>抽屉-50</t>
        </is>
      </c>
      <c r="B94" t="inlineStr">
        <is>
          <t>抽屉</t>
        </is>
      </c>
      <c r="C94" t="inlineStr">
        <is>
          <t>178x32</t>
        </is>
      </c>
      <c r="D94" t="inlineStr">
        <is>
          <t>#75A3F5</t>
        </is>
      </c>
      <c r="E94" t="inlineStr">
        <is>
          <t>14px/Roboto</t>
        </is>
      </c>
      <c r="F94" t="inlineStr">
        <is>
          <t>1px solid #DDD</t>
        </is>
      </c>
      <c r="G94" t="inlineStr">
        <is>
          <t>无</t>
        </is>
      </c>
      <c r="H94" t="inlineStr">
        <is>
          <t>废弃</t>
        </is>
      </c>
      <c r="I94" t="inlineStr">
        <is>
          <t>组件备注 50</t>
        </is>
      </c>
    </row>
    <row r="95">
      <c r="A95" t="inlineStr">
        <is>
          <t>表格-51</t>
        </is>
      </c>
      <c r="B95" t="inlineStr">
        <is>
          <t>表格</t>
        </is>
      </c>
      <c r="C95" t="inlineStr">
        <is>
          <t>180x32</t>
        </is>
      </c>
      <c r="D95" t="inlineStr">
        <is>
          <t>#76A4F6</t>
        </is>
      </c>
      <c r="E95" t="inlineStr">
        <is>
          <t>14px/Roboto</t>
        </is>
      </c>
      <c r="F95" t="inlineStr">
        <is>
          <t>1px solid #DDD</t>
        </is>
      </c>
      <c r="G95" t="inlineStr">
        <is>
          <t>0 2px 4px rgba(0,0,0,.1)</t>
        </is>
      </c>
      <c r="H95" t="inlineStr">
        <is>
          <t>待定</t>
        </is>
      </c>
      <c r="I95" t="inlineStr">
        <is>
          <t>组件备注 51</t>
        </is>
      </c>
    </row>
    <row r="96">
      <c r="A96" t="inlineStr">
        <is>
          <t>分页-52</t>
        </is>
      </c>
      <c r="B96" t="inlineStr">
        <is>
          <t>分页</t>
        </is>
      </c>
      <c r="C96" t="inlineStr">
        <is>
          <t>182x32</t>
        </is>
      </c>
      <c r="D96" t="inlineStr">
        <is>
          <t>#77A5F7</t>
        </is>
      </c>
      <c r="E96" t="inlineStr">
        <is>
          <t>14px/Roboto</t>
        </is>
      </c>
      <c r="F96" t="inlineStr">
        <is>
          <t>1px solid #DDD</t>
        </is>
      </c>
      <c r="G96" t="inlineStr">
        <is>
          <t>无</t>
        </is>
      </c>
      <c r="H96" t="inlineStr">
        <is>
          <t>确定</t>
        </is>
      </c>
      <c r="I96" t="inlineStr">
        <is>
          <t>组件备注 52</t>
        </is>
      </c>
    </row>
    <row r="97">
      <c r="A97" t="inlineStr">
        <is>
          <t>导航-53</t>
        </is>
      </c>
      <c r="B97" t="inlineStr">
        <is>
          <t>导航</t>
        </is>
      </c>
      <c r="C97" t="inlineStr">
        <is>
          <t>184x32</t>
        </is>
      </c>
      <c r="D97" t="inlineStr">
        <is>
          <t>#78A6F8</t>
        </is>
      </c>
      <c r="E97" t="inlineStr">
        <is>
          <t>14px/Roboto</t>
        </is>
      </c>
      <c r="F97" t="inlineStr">
        <is>
          <t>1px solid #DDD</t>
        </is>
      </c>
      <c r="G97" t="inlineStr">
        <is>
          <t>0 2px 4px rgba(0,0,0,.1)</t>
        </is>
      </c>
      <c r="H97" t="inlineStr">
        <is>
          <t>废弃</t>
        </is>
      </c>
      <c r="I97" t="inlineStr">
        <is>
          <t>组件备注 53</t>
        </is>
      </c>
    </row>
    <row r="98">
      <c r="A98" t="inlineStr">
        <is>
          <t>菜单-54</t>
        </is>
      </c>
      <c r="B98" t="inlineStr">
        <is>
          <t>菜单</t>
        </is>
      </c>
      <c r="C98" t="inlineStr">
        <is>
          <t>186x32</t>
        </is>
      </c>
      <c r="D98" t="inlineStr">
        <is>
          <t>#79A7F9</t>
        </is>
      </c>
      <c r="E98" t="inlineStr">
        <is>
          <t>14px/Roboto</t>
        </is>
      </c>
      <c r="F98" t="inlineStr">
        <is>
          <t>1px solid #DDD</t>
        </is>
      </c>
      <c r="G98" t="inlineStr">
        <is>
          <t>无</t>
        </is>
      </c>
      <c r="H98" t="inlineStr">
        <is>
          <t>待定</t>
        </is>
      </c>
      <c r="I98" t="inlineStr">
        <is>
          <t>组件备注 54</t>
        </is>
      </c>
    </row>
    <row r="99">
      <c r="A99" t="inlineStr">
        <is>
          <t>提示-55</t>
        </is>
      </c>
      <c r="B99" t="inlineStr">
        <is>
          <t>提示</t>
        </is>
      </c>
      <c r="C99" t="inlineStr">
        <is>
          <t>188x32</t>
        </is>
      </c>
      <c r="D99" t="inlineStr">
        <is>
          <t>#7AA8FA</t>
        </is>
      </c>
      <c r="E99" t="inlineStr">
        <is>
          <t>14px/Roboto</t>
        </is>
      </c>
      <c r="F99" t="inlineStr">
        <is>
          <t>1px solid #DDD</t>
        </is>
      </c>
      <c r="G99" t="inlineStr">
        <is>
          <t>0 2px 4px rgba(0,0,0,.1)</t>
        </is>
      </c>
      <c r="H99" t="inlineStr">
        <is>
          <t>确定</t>
        </is>
      </c>
      <c r="I99" t="inlineStr">
        <is>
          <t>组件备注 55</t>
        </is>
      </c>
    </row>
    <row r="100">
      <c r="A100" t="inlineStr">
        <is>
          <t>徽标-56</t>
        </is>
      </c>
      <c r="B100" t="inlineStr">
        <is>
          <t>徽标</t>
        </is>
      </c>
      <c r="C100" t="inlineStr">
        <is>
          <t>190x32</t>
        </is>
      </c>
      <c r="D100" t="inlineStr">
        <is>
          <t>#7BA9FB</t>
        </is>
      </c>
      <c r="E100" t="inlineStr">
        <is>
          <t>14px/Roboto</t>
        </is>
      </c>
      <c r="F100" t="inlineStr">
        <is>
          <t>1px solid #DDD</t>
        </is>
      </c>
      <c r="G100" t="inlineStr">
        <is>
          <t>无</t>
        </is>
      </c>
      <c r="H100" t="inlineStr">
        <is>
          <t>废弃</t>
        </is>
      </c>
      <c r="I100" t="inlineStr">
        <is>
          <t>组件备注 56</t>
        </is>
      </c>
    </row>
    <row r="101">
      <c r="A101" t="inlineStr">
        <is>
          <t>头像-57</t>
        </is>
      </c>
      <c r="B101" t="inlineStr">
        <is>
          <t>头像</t>
        </is>
      </c>
      <c r="C101" t="inlineStr">
        <is>
          <t>192x32</t>
        </is>
      </c>
      <c r="D101" t="inlineStr">
        <is>
          <t>#7CAAFC</t>
        </is>
      </c>
      <c r="E101" t="inlineStr">
        <is>
          <t>14px/Roboto</t>
        </is>
      </c>
      <c r="F101" t="inlineStr">
        <is>
          <t>1px solid #DDD</t>
        </is>
      </c>
      <c r="G101" t="inlineStr">
        <is>
          <t>0 2px 4px rgba(0,0,0,.1)</t>
        </is>
      </c>
      <c r="H101" t="inlineStr">
        <is>
          <t>待定</t>
        </is>
      </c>
      <c r="I101" t="inlineStr">
        <is>
          <t>组件备注 57</t>
        </is>
      </c>
    </row>
    <row r="102">
      <c r="A102" t="inlineStr">
        <is>
          <t>进度条-58</t>
        </is>
      </c>
      <c r="B102" t="inlineStr">
        <is>
          <t>进度条</t>
        </is>
      </c>
      <c r="C102" t="inlineStr">
        <is>
          <t>194x32</t>
        </is>
      </c>
      <c r="D102" t="inlineStr">
        <is>
          <t>#7DABFD</t>
        </is>
      </c>
      <c r="E102" t="inlineStr">
        <is>
          <t>14px/Roboto</t>
        </is>
      </c>
      <c r="F102" t="inlineStr">
        <is>
          <t>1px solid #DDD</t>
        </is>
      </c>
      <c r="G102" t="inlineStr">
        <is>
          <t>无</t>
        </is>
      </c>
      <c r="H102" t="inlineStr">
        <is>
          <t>确定</t>
        </is>
      </c>
      <c r="I102" t="inlineStr">
        <is>
          <t>组件备注 58</t>
        </is>
      </c>
    </row>
  </sheetData>
  <mergeCells count="4">
    <mergeCell ref="A1:I1"/>
    <mergeCell ref="H13:I13"/>
    <mergeCell ref="H7:I7"/>
    <mergeCell ref="A43:I43"/>
  </mergeCells>
  <conditionalFormatting sqref="H45:H102">
    <cfRule type="cellIs" priority="1" operator="equal" dxfId="0">
      <formula>"确定"</formula>
    </cfRule>
    <cfRule type="cellIs" priority="2" operator="equal" dxfId="1">
      <formula>"废弃"</formula>
    </cfRule>
    <cfRule type="cellIs" priority="3" operator="equal" dxfId="2">
      <formula>"待定"</formula>
    </cfRule>
  </conditionalFormatting>
  <dataValidations count="1">
    <dataValidation sqref="H45:H102" showDropDown="0" showInputMessage="0" showErrorMessage="0" allowBlank="1" type="list">
      <formula1>"确定,废弃,待定"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数据与公式验证</t>
        </is>
      </c>
    </row>
    <row r="3">
      <c r="A3" s="2" t="inlineStr">
        <is>
          <t>1. 基础运算</t>
        </is>
      </c>
    </row>
    <row r="4">
      <c r="A4" s="4" t="inlineStr">
        <is>
          <t>项</t>
        </is>
      </c>
      <c r="B4" s="4" t="inlineStr">
        <is>
          <t>数值1</t>
        </is>
      </c>
      <c r="C4" s="4" t="inlineStr">
        <is>
          <t>数值2</t>
        </is>
      </c>
      <c r="D4" s="4" t="inlineStr">
        <is>
          <t>公式</t>
        </is>
      </c>
      <c r="E4" s="4" t="inlineStr">
        <is>
          <t>结果</t>
        </is>
      </c>
      <c r="F4" s="4" t="inlineStr">
        <is>
          <t>说明</t>
        </is>
      </c>
    </row>
    <row r="5">
      <c r="A5" t="inlineStr">
        <is>
          <t>加法</t>
        </is>
      </c>
      <c r="B5" t="n">
        <v>10</v>
      </c>
      <c r="C5" t="n">
        <v>20</v>
      </c>
      <c r="D5">
        <f>B5+C5</f>
        <v/>
      </c>
      <c r="E5" t="inlineStr">
        <is>
          <t>SUM 两数</t>
        </is>
      </c>
    </row>
    <row r="6">
      <c r="A6" t="inlineStr">
        <is>
          <t>减法</t>
        </is>
      </c>
      <c r="B6" t="n">
        <v>30</v>
      </c>
      <c r="C6" t="n">
        <v>12</v>
      </c>
      <c r="D6">
        <f>B6-C6</f>
        <v/>
      </c>
      <c r="E6" t="inlineStr">
        <is>
          <t>差值</t>
        </is>
      </c>
    </row>
    <row r="7">
      <c r="A7" t="inlineStr">
        <is>
          <t>乘法</t>
        </is>
      </c>
      <c r="B7" t="n">
        <v>6</v>
      </c>
      <c r="C7" t="n">
        <v>7</v>
      </c>
      <c r="D7">
        <f>B7*C7</f>
        <v/>
      </c>
      <c r="E7" t="inlineStr">
        <is>
          <t>积</t>
        </is>
      </c>
    </row>
    <row r="8">
      <c r="A8" t="inlineStr">
        <is>
          <t>除法</t>
        </is>
      </c>
      <c r="B8" t="n">
        <v>100</v>
      </c>
      <c r="C8" t="n">
        <v>4</v>
      </c>
      <c r="D8">
        <f>B8/C8</f>
        <v/>
      </c>
      <c r="E8" t="inlineStr">
        <is>
          <t>商</t>
        </is>
      </c>
    </row>
    <row r="9">
      <c r="A9" t="inlineStr">
        <is>
          <t>求和</t>
        </is>
      </c>
      <c r="D9">
        <f>SUM(B5:C8)</f>
        <v/>
      </c>
      <c r="E9" t="inlineStr">
        <is>
          <t>区域求和</t>
        </is>
      </c>
    </row>
    <row r="10">
      <c r="A10" t="inlineStr">
        <is>
          <t>平均值</t>
        </is>
      </c>
      <c r="D10">
        <f>AVERAGE(B5:C8)</f>
        <v/>
      </c>
      <c r="E10" t="inlineStr">
        <is>
          <t>区域平均</t>
        </is>
      </c>
    </row>
    <row r="11">
      <c r="A11" t="inlineStr">
        <is>
          <t>最大值</t>
        </is>
      </c>
      <c r="D11">
        <f>MAX(B5:C8)</f>
        <v/>
      </c>
      <c r="E11" t="inlineStr">
        <is>
          <t>区域最大</t>
        </is>
      </c>
    </row>
    <row r="12">
      <c r="A12" t="inlineStr">
        <is>
          <t>最小值</t>
        </is>
      </c>
      <c r="D12">
        <f>MIN(B5:C8)</f>
        <v/>
      </c>
      <c r="E12" t="inlineStr">
        <is>
          <t>区域最小</t>
        </is>
      </c>
    </row>
    <row r="13">
      <c r="A13" t="inlineStr">
        <is>
          <t>计数</t>
        </is>
      </c>
      <c r="D13">
        <f>COUNT(B5:C8)</f>
        <v/>
      </c>
      <c r="E13" t="inlineStr">
        <is>
          <t>数值计数</t>
        </is>
      </c>
    </row>
    <row r="14">
      <c r="A14" t="inlineStr">
        <is>
          <t>非空计数</t>
        </is>
      </c>
      <c r="D14">
        <f>COUNTA(A5:A8)</f>
        <v/>
      </c>
      <c r="E14" t="inlineStr">
        <is>
          <t>非空计数</t>
        </is>
      </c>
    </row>
    <row r="15">
      <c r="A15" t="inlineStr">
        <is>
          <t>幂运算</t>
        </is>
      </c>
      <c r="B15" t="n">
        <v>2</v>
      </c>
      <c r="C15" t="n">
        <v>10</v>
      </c>
      <c r="D15">
        <f>B15^C15</f>
        <v/>
      </c>
      <c r="E15" t="inlineStr">
        <is>
          <t>2 的 10 次方</t>
        </is>
      </c>
    </row>
    <row r="16">
      <c r="A16" t="inlineStr">
        <is>
          <t>取整</t>
        </is>
      </c>
      <c r="B16" t="n">
        <v>3.7</v>
      </c>
      <c r="D16">
        <f>INT(B16)</f>
        <v/>
      </c>
      <c r="E16" t="inlineStr">
        <is>
          <t>向下取整</t>
        </is>
      </c>
    </row>
    <row r="17">
      <c r="A17" t="inlineStr">
        <is>
          <t>四舍五入</t>
        </is>
      </c>
      <c r="B17" t="n">
        <v>3.456</v>
      </c>
      <c r="C17" t="n">
        <v>2</v>
      </c>
      <c r="D17">
        <f>ROUND(B17,C17)</f>
        <v/>
      </c>
      <c r="E17" t="inlineStr">
        <is>
          <t>保留 2 位</t>
        </is>
      </c>
    </row>
    <row r="18">
      <c r="A18" t="inlineStr">
        <is>
          <t>绝对值</t>
        </is>
      </c>
      <c r="B18" t="n">
        <v>-8</v>
      </c>
      <c r="D18">
        <f>ABS(B18)</f>
        <v/>
      </c>
      <c r="E18" t="inlineStr">
        <is>
          <t>绝对值</t>
        </is>
      </c>
    </row>
    <row r="19">
      <c r="A19" t="inlineStr">
        <is>
          <t>模运算</t>
        </is>
      </c>
      <c r="B19" t="n">
        <v>10</v>
      </c>
      <c r="C19" t="n">
        <v>3</v>
      </c>
      <c r="D19">
        <f>MOD(B19,C19)</f>
        <v/>
      </c>
      <c r="E19" t="inlineStr">
        <is>
          <t>余数</t>
        </is>
      </c>
    </row>
    <row r="20">
      <c r="A20" t="inlineStr">
        <is>
          <t>平方根</t>
        </is>
      </c>
      <c r="B20" t="n">
        <v>81</v>
      </c>
      <c r="D20">
        <f>SQRT(B20)</f>
        <v/>
      </c>
      <c r="E20" t="inlineStr">
        <is>
          <t>平方根</t>
        </is>
      </c>
    </row>
    <row r="21">
      <c r="A21" t="inlineStr">
        <is>
          <t>条件求和</t>
        </is>
      </c>
      <c r="D21">
        <f>SUMIF(B5:B8,"&gt;5")</f>
        <v/>
      </c>
      <c r="E21" t="inlineStr">
        <is>
          <t>大于5求和</t>
        </is>
      </c>
    </row>
    <row r="22">
      <c r="A22" t="inlineStr">
        <is>
          <t>条件平均</t>
        </is>
      </c>
      <c r="D22">
        <f>AVERAGEIF(B5:B8,"&gt;5")</f>
        <v/>
      </c>
      <c r="E22" t="inlineStr">
        <is>
          <t>大于5平均</t>
        </is>
      </c>
    </row>
    <row r="23">
      <c r="A23" t="inlineStr">
        <is>
          <t>排名</t>
        </is>
      </c>
      <c r="D23">
        <f>RANK(B7,B5:B8)</f>
        <v/>
      </c>
      <c r="E23" t="inlineStr">
        <is>
          <t>B7 在区域内排名</t>
        </is>
      </c>
    </row>
    <row r="24">
      <c r="A24" t="inlineStr">
        <is>
          <t>随机数</t>
        </is>
      </c>
      <c r="D24">
        <f>RAND()</f>
        <v/>
      </c>
      <c r="E24" t="inlineStr">
        <is>
          <t>0~1 随机</t>
        </is>
      </c>
    </row>
    <row r="25">
      <c r="A25" t="inlineStr">
        <is>
          <t>随机整数</t>
        </is>
      </c>
      <c r="B25" t="n">
        <v>1</v>
      </c>
      <c r="C25" t="n">
        <v>100</v>
      </c>
      <c r="D25">
        <f>RANDBETWEEN(B23,C23)</f>
        <v/>
      </c>
      <c r="E25" t="inlineStr">
        <is>
          <t>1~100 随机</t>
        </is>
      </c>
    </row>
    <row r="26">
      <c r="A26" t="inlineStr">
        <is>
          <t>PI</t>
        </is>
      </c>
      <c r="D26">
        <f>PI()</f>
        <v/>
      </c>
      <c r="E26" t="inlineStr">
        <is>
          <t>圆周率</t>
        </is>
      </c>
    </row>
    <row r="27">
      <c r="A27" t="inlineStr">
        <is>
          <t>取余数2</t>
        </is>
      </c>
      <c r="B27" t="n">
        <v>17</v>
      </c>
      <c r="C27" t="n">
        <v>5</v>
      </c>
      <c r="D27">
        <f>MOD(B26,C26)</f>
        <v/>
      </c>
      <c r="E27" t="inlineStr">
        <is>
          <t>余数</t>
        </is>
      </c>
    </row>
    <row r="28">
      <c r="A28" t="inlineStr">
        <is>
          <t>乘方2</t>
        </is>
      </c>
      <c r="B28" t="n">
        <v>5</v>
      </c>
      <c r="C28" t="n">
        <v>3</v>
      </c>
      <c r="D28">
        <f>B27^C27</f>
        <v/>
      </c>
      <c r="E28" t="inlineStr">
        <is>
          <t>5 的 3 次方</t>
        </is>
      </c>
    </row>
    <row r="29">
      <c r="A29" t="inlineStr">
        <is>
          <t>向上取整</t>
        </is>
      </c>
      <c r="B29" t="n">
        <v>4.2</v>
      </c>
      <c r="D29">
        <f>CEILING(B28,1)</f>
        <v/>
      </c>
      <c r="E29" t="inlineStr">
        <is>
          <t>向上取整</t>
        </is>
      </c>
    </row>
    <row r="30">
      <c r="A30" t="inlineStr">
        <is>
          <t>向下取整2</t>
        </is>
      </c>
      <c r="B30" t="n">
        <v>4.8</v>
      </c>
      <c r="D30">
        <f>FLOOR(B29,1)</f>
        <v/>
      </c>
      <c r="E30" t="inlineStr">
        <is>
          <t>向下取整</t>
        </is>
      </c>
    </row>
    <row r="31">
      <c r="A31" t="inlineStr">
        <is>
          <t>百分位</t>
        </is>
      </c>
      <c r="D31">
        <f>PERCENTILE(B5:B8,0.5)</f>
        <v/>
      </c>
      <c r="E31" t="inlineStr">
        <is>
          <t>中位数</t>
        </is>
      </c>
    </row>
    <row r="32">
      <c r="A32" s="2" t="inlineStr">
        <is>
          <t>2. 逻辑函数</t>
        </is>
      </c>
    </row>
    <row r="33">
      <c r="A33" s="4" t="inlineStr">
        <is>
          <t>函数</t>
        </is>
      </c>
      <c r="B33" s="4" t="inlineStr">
        <is>
          <t>参数A</t>
        </is>
      </c>
      <c r="C33" s="4" t="inlineStr">
        <is>
          <t>参数B</t>
        </is>
      </c>
      <c r="D33" s="4" t="inlineStr">
        <is>
          <t>公式</t>
        </is>
      </c>
      <c r="E33" s="4" t="inlineStr">
        <is>
          <t>结果</t>
        </is>
      </c>
      <c r="F33" s="4" t="inlineStr">
        <is>
          <t>说明</t>
        </is>
      </c>
    </row>
    <row r="34">
      <c r="A34" t="inlineStr">
        <is>
          <t>IF</t>
        </is>
      </c>
      <c r="B34" t="n">
        <v>85</v>
      </c>
      <c r="C34" t="n">
        <v>60</v>
      </c>
      <c r="D34">
        <f>IF(B34&gt;=C34,"及格","不及格")</f>
        <v/>
      </c>
      <c r="E34" t="inlineStr">
        <is>
          <t>条件判断</t>
        </is>
      </c>
    </row>
    <row r="35">
      <c r="A35" t="inlineStr">
        <is>
          <t>IF 嵌套</t>
        </is>
      </c>
      <c r="B35" t="n">
        <v>75</v>
      </c>
      <c r="D35">
        <f>IF(B35&gt;=90,"优",IF(B35&gt;=60,"良","差"))</f>
        <v/>
      </c>
      <c r="E35" t="inlineStr">
        <is>
          <t>多条件</t>
        </is>
      </c>
    </row>
    <row r="36">
      <c r="A36" t="inlineStr">
        <is>
          <t>IFS</t>
        </is>
      </c>
      <c r="B36" t="n">
        <v>88</v>
      </c>
      <c r="D36">
        <f>IFS(B36&gt;=90,"A",B36&gt;=80,"B",B36&gt;=60,"C")</f>
        <v/>
      </c>
      <c r="E36" t="inlineStr">
        <is>
          <t>多条件(2016+)</t>
        </is>
      </c>
    </row>
    <row r="37">
      <c r="A37" t="inlineStr">
        <is>
          <t>AND</t>
        </is>
      </c>
      <c r="B37" t="b">
        <v>1</v>
      </c>
      <c r="C37" t="b">
        <v>1</v>
      </c>
      <c r="D37">
        <f>AND(B37,C37)</f>
        <v/>
      </c>
      <c r="E37" t="inlineStr">
        <is>
          <t>逻辑与</t>
        </is>
      </c>
    </row>
    <row r="38">
      <c r="A38" t="inlineStr">
        <is>
          <t>OR</t>
        </is>
      </c>
      <c r="B38" t="b">
        <v>1</v>
      </c>
      <c r="C38" t="b">
        <v>0</v>
      </c>
      <c r="D38">
        <f>OR(B38,C38)</f>
        <v/>
      </c>
      <c r="E38" t="inlineStr">
        <is>
          <t>逻辑或</t>
        </is>
      </c>
    </row>
    <row r="39">
      <c r="A39" t="inlineStr">
        <is>
          <t>NOT</t>
        </is>
      </c>
      <c r="B39" t="b">
        <v>1</v>
      </c>
      <c r="D39">
        <f>NOT(B39)</f>
        <v/>
      </c>
      <c r="E39" t="inlineStr">
        <is>
          <t>逻辑非</t>
        </is>
      </c>
    </row>
    <row r="40">
      <c r="A40" t="inlineStr">
        <is>
          <t>IFERROR</t>
        </is>
      </c>
      <c r="B40" t="n">
        <v>1</v>
      </c>
      <c r="C40" t="n">
        <v>0</v>
      </c>
      <c r="D40">
        <f>IFERROR(B40/C40,"除零错误")</f>
        <v/>
      </c>
      <c r="E40" t="inlineStr">
        <is>
          <t>错误捕获</t>
        </is>
      </c>
    </row>
    <row r="41">
      <c r="A41" t="inlineStr">
        <is>
          <t>XOR</t>
        </is>
      </c>
      <c r="B41" t="b">
        <v>1</v>
      </c>
      <c r="C41" t="b">
        <v>0</v>
      </c>
      <c r="D41">
        <f>XOR(B41,C41)</f>
        <v/>
      </c>
      <c r="E41" t="inlineStr">
        <is>
          <t>异或</t>
        </is>
      </c>
    </row>
    <row r="42">
      <c r="A42" t="inlineStr">
        <is>
          <t>TRUE</t>
        </is>
      </c>
      <c r="D42">
        <f>TRUE()</f>
        <v/>
      </c>
      <c r="E42" t="inlineStr">
        <is>
          <t>布尔真</t>
        </is>
      </c>
    </row>
    <row r="43">
      <c r="A43" t="inlineStr">
        <is>
          <t>FALSE</t>
        </is>
      </c>
      <c r="D43">
        <f>FALSE()</f>
        <v/>
      </c>
      <c r="E43" t="inlineStr">
        <is>
          <t>布尔假</t>
        </is>
      </c>
    </row>
    <row r="44">
      <c r="A44" t="inlineStr">
        <is>
          <t>ISNUMBER</t>
        </is>
      </c>
      <c r="B44" t="n">
        <v>123</v>
      </c>
      <c r="D44">
        <f>ISNUMBER(B44)</f>
        <v/>
      </c>
      <c r="E44" t="inlineStr">
        <is>
          <t>是否数字</t>
        </is>
      </c>
    </row>
    <row r="45">
      <c r="A45" t="inlineStr">
        <is>
          <t>ISTEXT</t>
        </is>
      </c>
      <c r="B45" t="inlineStr">
        <is>
          <t>abc</t>
        </is>
      </c>
      <c r="D45">
        <f>ISTEXT(B45)</f>
        <v/>
      </c>
      <c r="E45" t="inlineStr">
        <is>
          <t>是否文本</t>
        </is>
      </c>
    </row>
    <row r="46">
      <c r="A46" t="inlineStr">
        <is>
          <t>ISBLANK</t>
        </is>
      </c>
      <c r="D46">
        <f>ISBLANK(B46)</f>
        <v/>
      </c>
      <c r="E46" t="inlineStr">
        <is>
          <t>是否空</t>
        </is>
      </c>
    </row>
    <row r="47">
      <c r="A47" t="inlineStr">
        <is>
          <t>ISERROR</t>
        </is>
      </c>
      <c r="D47">
        <f>ISERROR(1/0)</f>
        <v/>
      </c>
      <c r="E47" t="inlineStr">
        <is>
          <t>是否错误</t>
        </is>
      </c>
    </row>
    <row r="48">
      <c r="A48" t="inlineStr">
        <is>
          <t>ISEVEN</t>
        </is>
      </c>
      <c r="B48" t="n">
        <v>8</v>
      </c>
      <c r="D48">
        <f>ISEVEN(B48)</f>
        <v/>
      </c>
      <c r="E48" t="inlineStr">
        <is>
          <t>是否偶数</t>
        </is>
      </c>
    </row>
    <row r="49">
      <c r="A49" t="inlineStr">
        <is>
          <t>ISODD</t>
        </is>
      </c>
      <c r="B49" t="n">
        <v>7</v>
      </c>
      <c r="D49">
        <f>ISODD(B49)</f>
        <v/>
      </c>
      <c r="E49" t="inlineStr">
        <is>
          <t>是否奇数</t>
        </is>
      </c>
    </row>
    <row r="50">
      <c r="A50" t="inlineStr">
        <is>
          <t>IF + AND</t>
        </is>
      </c>
      <c r="B50" t="n">
        <v>80</v>
      </c>
      <c r="C50" t="n">
        <v>90</v>
      </c>
      <c r="D50">
        <f>IF(AND(B50&gt;=60,C50&gt;=60),"通过","否")</f>
        <v/>
      </c>
      <c r="E50" t="inlineStr">
        <is>
          <t>组合判断</t>
        </is>
      </c>
    </row>
    <row r="51">
      <c r="A51" t="inlineStr">
        <is>
          <t>IF + OR</t>
        </is>
      </c>
      <c r="B51" t="n">
        <v>55</v>
      </c>
      <c r="C51" t="n">
        <v>95</v>
      </c>
      <c r="D51">
        <f>IF(OR(B51&gt;=60,C51&gt;=60),"部分通过","否")</f>
        <v/>
      </c>
      <c r="E51" t="inlineStr">
        <is>
          <t>组合判断</t>
        </is>
      </c>
    </row>
    <row r="52">
      <c r="A52" t="inlineStr">
        <is>
          <t>SWITCH</t>
        </is>
      </c>
      <c r="B52" t="n">
        <v>2</v>
      </c>
      <c r="D52">
        <f>SWITCH(B52,1,"一",2,"二",3,"三","其他")</f>
        <v/>
      </c>
      <c r="E52" t="inlineStr">
        <is>
          <t>分支选择</t>
        </is>
      </c>
    </row>
    <row r="53">
      <c r="A53" t="inlineStr">
        <is>
          <t>IFNA</t>
        </is>
      </c>
      <c r="D53">
        <f>IFNA(VLOOKUP("x",B34:C35,1,0),"未找到")</f>
        <v/>
      </c>
      <c r="E53" t="inlineStr">
        <is>
          <t>NA 捕获</t>
        </is>
      </c>
    </row>
    <row r="54">
      <c r="A54" t="inlineStr">
        <is>
          <t>ISLOGICAL</t>
        </is>
      </c>
      <c r="B54" t="b">
        <v>1</v>
      </c>
      <c r="D54">
        <f>ISLOGICAL(B54)</f>
        <v/>
      </c>
      <c r="E54" t="inlineStr">
        <is>
          <t>是否布尔</t>
        </is>
      </c>
    </row>
    <row r="55">
      <c r="A55" t="inlineStr">
        <is>
          <t>ISNONTEXT</t>
        </is>
      </c>
      <c r="B55" t="n">
        <v>123</v>
      </c>
      <c r="D55">
        <f>ISNONTEXT(B55)</f>
        <v/>
      </c>
      <c r="E55" t="inlineStr">
        <is>
          <t>是否非文本</t>
        </is>
      </c>
    </row>
    <row r="56">
      <c r="A56" t="inlineStr">
        <is>
          <t>AND 多参</t>
        </is>
      </c>
      <c r="D56">
        <f>AND(B34&gt;0,B35&gt;0,B36&gt;0)</f>
        <v/>
      </c>
      <c r="E56" t="inlineStr">
        <is>
          <t>多参数与</t>
        </is>
      </c>
    </row>
    <row r="57">
      <c r="A57" s="2" t="inlineStr">
        <is>
          <t>3. 查找引用</t>
        </is>
      </c>
    </row>
    <row r="58">
      <c r="A58" s="4" t="inlineStr">
        <is>
          <t>函数</t>
        </is>
      </c>
      <c r="B58" s="4" t="inlineStr">
        <is>
          <t>参数A</t>
        </is>
      </c>
      <c r="C58" s="4" t="inlineStr">
        <is>
          <t>参数B</t>
        </is>
      </c>
      <c r="D58" s="4" t="inlineStr">
        <is>
          <t>公式</t>
        </is>
      </c>
      <c r="E58" s="4" t="inlineStr">
        <is>
          <t>结果</t>
        </is>
      </c>
      <c r="F58" s="4" t="inlineStr">
        <is>
          <t>说明</t>
        </is>
      </c>
    </row>
    <row r="59">
      <c r="A59" t="inlineStr">
        <is>
          <t>VLOOKUP</t>
        </is>
      </c>
      <c r="B59" t="inlineStr">
        <is>
          <t>苹果</t>
        </is>
      </c>
      <c r="D59">
        <f>VLOOKUP(B59,B34:C40,1,0)</f>
        <v/>
      </c>
      <c r="E59" t="inlineStr">
        <is>
          <t>垂直查找</t>
        </is>
      </c>
    </row>
    <row r="60">
      <c r="A60" t="inlineStr">
        <is>
          <t>HLOOKUP</t>
        </is>
      </c>
      <c r="D60">
        <f>HLOOKUP("函数",B33:F33,1,0)</f>
        <v/>
      </c>
      <c r="E60" t="inlineStr">
        <is>
          <t>水平查找</t>
        </is>
      </c>
    </row>
    <row r="61">
      <c r="A61" t="inlineStr">
        <is>
          <t>INDEX</t>
        </is>
      </c>
      <c r="D61">
        <f>INDEX(B34:B40,3)</f>
        <v/>
      </c>
      <c r="E61" t="inlineStr">
        <is>
          <t>按索引取值</t>
        </is>
      </c>
    </row>
    <row r="62">
      <c r="A62" t="inlineStr">
        <is>
          <t>MATCH</t>
        </is>
      </c>
      <c r="B62" t="inlineStr">
        <is>
          <t>IF</t>
        </is>
      </c>
      <c r="D62">
        <f>MATCH(B62,B34:B40,0)</f>
        <v/>
      </c>
      <c r="E62" t="inlineStr">
        <is>
          <t>返回位置</t>
        </is>
      </c>
    </row>
    <row r="63">
      <c r="A63" t="inlineStr">
        <is>
          <t>INDEX+MATCH</t>
        </is>
      </c>
      <c r="D63">
        <f>INDEX(B34:B40,MATCH("IF",B34:B40,0))</f>
        <v/>
      </c>
      <c r="E63" t="inlineStr">
        <is>
          <t>组合查找</t>
        </is>
      </c>
    </row>
    <row r="64">
      <c r="A64" t="inlineStr">
        <is>
          <t>CHOOSE</t>
        </is>
      </c>
      <c r="B64" t="n">
        <v>2</v>
      </c>
      <c r="D64">
        <f>CHOOSE(C63,"一","二","三")</f>
        <v/>
      </c>
      <c r="E64" t="inlineStr">
        <is>
          <t>按索引选择</t>
        </is>
      </c>
    </row>
    <row r="65">
      <c r="A65" t="inlineStr">
        <is>
          <t>OFFSET</t>
        </is>
      </c>
      <c r="D65">
        <f>OFFSET(B34,2,0)</f>
        <v/>
      </c>
      <c r="E65" t="inlineStr">
        <is>
          <t>偏移引用</t>
        </is>
      </c>
    </row>
    <row r="66">
      <c r="A66" t="inlineStr">
        <is>
          <t>INDIRECT</t>
        </is>
      </c>
      <c r="D66">
        <f>INDIRECT("B34")</f>
        <v/>
      </c>
      <c r="E66" t="inlineStr">
        <is>
          <t>间接引用</t>
        </is>
      </c>
    </row>
    <row r="67">
      <c r="A67" t="inlineStr">
        <is>
          <t>ROW</t>
        </is>
      </c>
      <c r="D67">
        <f>ROW(B34)</f>
        <v/>
      </c>
      <c r="E67" t="inlineStr">
        <is>
          <t>行号</t>
        </is>
      </c>
    </row>
    <row r="68">
      <c r="A68" t="inlineStr">
        <is>
          <t>COLUMN</t>
        </is>
      </c>
      <c r="D68">
        <f>COLUMN(B34)</f>
        <v/>
      </c>
      <c r="E68" t="inlineStr">
        <is>
          <t>列号</t>
        </is>
      </c>
    </row>
    <row r="69">
      <c r="A69" t="inlineStr">
        <is>
          <t>ROWS</t>
        </is>
      </c>
      <c r="D69">
        <f>ROWS(B34:B40)</f>
        <v/>
      </c>
      <c r="E69" t="inlineStr">
        <is>
          <t>行数</t>
        </is>
      </c>
    </row>
    <row r="70">
      <c r="A70" t="inlineStr">
        <is>
          <t>COLUMNS</t>
        </is>
      </c>
      <c r="D70">
        <f>COLUMNS(B34:F34)</f>
        <v/>
      </c>
      <c r="E70" t="inlineStr">
        <is>
          <t>列数</t>
        </is>
      </c>
    </row>
    <row r="71">
      <c r="A71" t="inlineStr">
        <is>
          <t>ADDRESS</t>
        </is>
      </c>
      <c r="B71" t="n">
        <v>5</v>
      </c>
      <c r="C71" t="n">
        <v>2</v>
      </c>
      <c r="D71">
        <f>ADDRESS(B71,C71)</f>
        <v/>
      </c>
      <c r="E71" t="inlineStr">
        <is>
          <t>构造地址</t>
        </is>
      </c>
    </row>
    <row r="72">
      <c r="A72" t="inlineStr">
        <is>
          <t>AREAS</t>
        </is>
      </c>
      <c r="D72">
        <f>AREAS(B34:B40)</f>
        <v/>
      </c>
      <c r="E72" t="inlineStr">
        <is>
          <t>区域数</t>
        </is>
      </c>
    </row>
    <row r="73">
      <c r="A73" t="inlineStr">
        <is>
          <t>VLOOKUP 近似</t>
        </is>
      </c>
      <c r="B73" t="n">
        <v>85</v>
      </c>
      <c r="D73">
        <f>VLOOKUP(B73,{0,"F";60,"D";90,"A"},2,1)</f>
        <v/>
      </c>
      <c r="E73" t="inlineStr">
        <is>
          <t>近似匹配</t>
        </is>
      </c>
    </row>
    <row r="74">
      <c r="A74" t="inlineStr">
        <is>
          <t>XLOOKUP</t>
        </is>
      </c>
      <c r="B74" t="inlineStr">
        <is>
          <t>苹果</t>
        </is>
      </c>
      <c r="D74">
        <f>XLOOKUP(B74,B34:B40,B34:B40)</f>
        <v/>
      </c>
      <c r="E74" t="inlineStr">
        <is>
          <t>新版查找</t>
        </is>
      </c>
    </row>
    <row r="75">
      <c r="A75" t="inlineStr">
        <is>
          <t>XMATCH</t>
        </is>
      </c>
      <c r="B75" t="inlineStr">
        <is>
          <t>IF</t>
        </is>
      </c>
      <c r="D75">
        <f>XMATCH(B75,B34:B40)</f>
        <v/>
      </c>
      <c r="E75" t="inlineStr">
        <is>
          <t>新版匹配</t>
        </is>
      </c>
    </row>
    <row r="76">
      <c r="A76" t="inlineStr">
        <is>
          <t>INDEX 二维</t>
        </is>
      </c>
      <c r="D76">
        <f>INDEX(B34:F40,2,3)</f>
        <v/>
      </c>
      <c r="E76" t="inlineStr">
        <is>
          <t>二维取值</t>
        </is>
      </c>
    </row>
    <row r="77">
      <c r="A77" t="inlineStr">
        <is>
          <t>OFFSET 求和</t>
        </is>
      </c>
      <c r="D77">
        <f>SUM(OFFSET(B34,0,0,3,1))</f>
        <v/>
      </c>
      <c r="E77" t="inlineStr">
        <is>
          <t>偏移求和</t>
        </is>
      </c>
    </row>
    <row r="78">
      <c r="A78" t="inlineStr">
        <is>
          <t>HYPERLINK</t>
        </is>
      </c>
      <c r="D78">
        <f>HYPERLINK("https://github.com/Taohenger/ai-tool-lab","仓库")</f>
        <v/>
      </c>
      <c r="E78" t="inlineStr">
        <is>
          <t>超链接公式</t>
        </is>
      </c>
    </row>
    <row r="79">
      <c r="A79" t="inlineStr">
        <is>
          <t>VLOOKUP 跨表</t>
        </is>
      </c>
      <c r="D79">
        <f>VLOOKUP(B34,B34:C40,1,0)</f>
        <v/>
      </c>
      <c r="E79" t="inlineStr">
        <is>
          <t>同表查找</t>
        </is>
      </c>
    </row>
    <row r="80">
      <c r="A80" t="inlineStr">
        <is>
          <t>MATCH 近似</t>
        </is>
      </c>
      <c r="B80" t="n">
        <v>85</v>
      </c>
      <c r="D80">
        <f>MATCH(B79,{0;60;90},1)</f>
        <v/>
      </c>
      <c r="E80" t="inlineStr">
        <is>
          <t>近似位置</t>
        </is>
      </c>
    </row>
    <row r="81">
      <c r="A81" t="inlineStr">
        <is>
          <t>CHOOSE 多值</t>
        </is>
      </c>
      <c r="B81" t="n">
        <v>3</v>
      </c>
      <c r="D81">
        <f>CHOOSE(B80,"A","B","C","D")</f>
        <v/>
      </c>
      <c r="E81" t="inlineStr">
        <is>
          <t>多值选择</t>
        </is>
      </c>
    </row>
    <row r="82">
      <c r="A82" s="2" t="inlineStr">
        <is>
          <t>4. 文本函数</t>
        </is>
      </c>
    </row>
    <row r="83">
      <c r="A83" s="4" t="inlineStr">
        <is>
          <t>函数</t>
        </is>
      </c>
      <c r="B83" s="4" t="inlineStr">
        <is>
          <t>参数A</t>
        </is>
      </c>
      <c r="C83" s="4" t="inlineStr">
        <is>
          <t>参数B</t>
        </is>
      </c>
      <c r="D83" s="4" t="inlineStr">
        <is>
          <t>公式</t>
        </is>
      </c>
      <c r="E83" s="4" t="inlineStr">
        <is>
          <t>结果</t>
        </is>
      </c>
      <c r="F83" s="4" t="inlineStr">
        <is>
          <t>说明</t>
        </is>
      </c>
    </row>
    <row r="84">
      <c r="A84" t="inlineStr">
        <is>
          <t>CONCATENATE</t>
        </is>
      </c>
      <c r="B84" t="inlineStr">
        <is>
          <t>Hello</t>
        </is>
      </c>
      <c r="C84" t="inlineStr">
        <is>
          <t>World</t>
        </is>
      </c>
      <c r="D84">
        <f>CONCATENATE(B84," ",C84)</f>
        <v/>
      </c>
      <c r="E84" t="inlineStr">
        <is>
          <t>拼接</t>
        </is>
      </c>
    </row>
    <row r="85">
      <c r="A85" t="inlineStr">
        <is>
          <t>CONCAT</t>
        </is>
      </c>
      <c r="B85" t="inlineStr">
        <is>
          <t>A</t>
        </is>
      </c>
      <c r="C85" t="inlineStr">
        <is>
          <t>B</t>
        </is>
      </c>
      <c r="D85">
        <f>CONCAT(B85,C85)</f>
        <v/>
      </c>
      <c r="E85" t="inlineStr">
        <is>
          <t>新版拼接</t>
        </is>
      </c>
    </row>
    <row r="86">
      <c r="A86" t="inlineStr">
        <is>
          <t>TEXTJOIN</t>
        </is>
      </c>
      <c r="B86" t="inlineStr">
        <is>
          <t>a</t>
        </is>
      </c>
      <c r="C86" t="inlineStr">
        <is>
          <t>b</t>
        </is>
      </c>
      <c r="D86">
        <f>TEXTJOIN("-",TRUE,B86,C86)</f>
        <v/>
      </c>
      <c r="E86" t="inlineStr">
        <is>
          <t>带分隔拼接</t>
        </is>
      </c>
    </row>
    <row r="87">
      <c r="A87" t="inlineStr">
        <is>
          <t>LEFT</t>
        </is>
      </c>
      <c r="B87" t="inlineStr">
        <is>
          <t>Excel</t>
        </is>
      </c>
      <c r="C87" t="n">
        <v>2</v>
      </c>
      <c r="D87">
        <f>LEFT(B87,C87)</f>
        <v/>
      </c>
      <c r="E87" t="inlineStr">
        <is>
          <t>左截取</t>
        </is>
      </c>
    </row>
    <row r="88">
      <c r="A88" t="inlineStr">
        <is>
          <t>RIGHT</t>
        </is>
      </c>
      <c r="B88" t="inlineStr">
        <is>
          <t>Excel</t>
        </is>
      </c>
      <c r="C88" t="n">
        <v>2</v>
      </c>
      <c r="D88">
        <f>RIGHT(B88,C88)</f>
        <v/>
      </c>
      <c r="E88" t="inlineStr">
        <is>
          <t>右截取</t>
        </is>
      </c>
    </row>
    <row r="89">
      <c r="A89" t="inlineStr">
        <is>
          <t>MID</t>
        </is>
      </c>
      <c r="B89" t="inlineStr">
        <is>
          <t>Excel</t>
        </is>
      </c>
      <c r="C89" t="n">
        <v>2</v>
      </c>
      <c r="D89">
        <f>MID(B89,C89,2)</f>
        <v/>
      </c>
      <c r="E89" t="inlineStr">
        <is>
          <t>中间截取</t>
        </is>
      </c>
    </row>
    <row r="90">
      <c r="A90" t="inlineStr">
        <is>
          <t>LEN</t>
        </is>
      </c>
      <c r="B90" t="inlineStr">
        <is>
          <t>Excel</t>
        </is>
      </c>
      <c r="D90">
        <f>LEN(B90)</f>
        <v/>
      </c>
      <c r="E90" t="inlineStr">
        <is>
          <t>长度</t>
        </is>
      </c>
    </row>
    <row r="91">
      <c r="A91" t="inlineStr">
        <is>
          <t>LENB</t>
        </is>
      </c>
      <c r="B91" t="inlineStr">
        <is>
          <t>Excel</t>
        </is>
      </c>
      <c r="D91">
        <f>LENB(B91)</f>
        <v/>
      </c>
      <c r="E91" t="inlineStr">
        <is>
          <t>字节长度</t>
        </is>
      </c>
    </row>
    <row r="92">
      <c r="A92" t="inlineStr">
        <is>
          <t>LOWER</t>
        </is>
      </c>
      <c r="B92" t="inlineStr">
        <is>
          <t>EXCEL</t>
        </is>
      </c>
      <c r="D92">
        <f>LOWER(B92)</f>
        <v/>
      </c>
      <c r="E92" t="inlineStr">
        <is>
          <t>小写</t>
        </is>
      </c>
    </row>
    <row r="93">
      <c r="A93" t="inlineStr">
        <is>
          <t>UPPER</t>
        </is>
      </c>
      <c r="B93" t="inlineStr">
        <is>
          <t>excel</t>
        </is>
      </c>
      <c r="D93">
        <f>UPPER(B93)</f>
        <v/>
      </c>
      <c r="E93" t="inlineStr">
        <is>
          <t>大写</t>
        </is>
      </c>
    </row>
    <row r="94">
      <c r="A94" t="inlineStr">
        <is>
          <t>PROPER</t>
        </is>
      </c>
      <c r="B94" t="inlineStr">
        <is>
          <t>hello world</t>
        </is>
      </c>
      <c r="D94">
        <f>PROPER(B94)</f>
        <v/>
      </c>
      <c r="E94" t="inlineStr">
        <is>
          <t>首字母大写</t>
        </is>
      </c>
    </row>
    <row r="95">
      <c r="A95" t="inlineStr">
        <is>
          <t>TRIM</t>
        </is>
      </c>
      <c r="B95" t="inlineStr">
        <is>
          <t xml:space="preserve">  a b  </t>
        </is>
      </c>
      <c r="D95">
        <f>TRIM(B95)</f>
        <v/>
      </c>
      <c r="E95" t="inlineStr">
        <is>
          <t>去首尾空格</t>
        </is>
      </c>
    </row>
    <row r="96">
      <c r="A96" t="inlineStr">
        <is>
          <t>CLEAN</t>
        </is>
      </c>
      <c r="B96" t="inlineStr">
        <is>
          <t>a
b</t>
        </is>
      </c>
      <c r="D96">
        <f>CLEAN(B96)</f>
        <v/>
      </c>
      <c r="E96" t="inlineStr">
        <is>
          <t>去不可见字符</t>
        </is>
      </c>
    </row>
    <row r="97">
      <c r="A97" t="inlineStr">
        <is>
          <t>SUBSTITUTE</t>
        </is>
      </c>
      <c r="B97" t="inlineStr">
        <is>
          <t>a-b-c</t>
        </is>
      </c>
      <c r="C97" t="inlineStr">
        <is>
          <t>-</t>
        </is>
      </c>
      <c r="D97">
        <f>SUBSTITUTE(B97,"-","/")</f>
        <v/>
      </c>
      <c r="E97" t="inlineStr">
        <is>
          <t>替换</t>
        </is>
      </c>
    </row>
    <row r="98">
      <c r="A98" t="inlineStr">
        <is>
          <t>REPLACE</t>
        </is>
      </c>
      <c r="B98" t="inlineStr">
        <is>
          <t>abcdef</t>
        </is>
      </c>
      <c r="C98" t="n">
        <v>2</v>
      </c>
      <c r="D98">
        <f>REPLACE(B98,C98,2,"XY")</f>
        <v/>
      </c>
      <c r="E98" t="inlineStr">
        <is>
          <t>按位置替换</t>
        </is>
      </c>
    </row>
    <row r="99">
      <c r="A99" t="inlineStr">
        <is>
          <t>REPT</t>
        </is>
      </c>
      <c r="B99" t="inlineStr">
        <is>
          <t>Ab</t>
        </is>
      </c>
      <c r="C99" t="n">
        <v>3</v>
      </c>
      <c r="D99">
        <f>REPT(B99,C99)</f>
        <v/>
      </c>
      <c r="E99" t="inlineStr">
        <is>
          <t>重复</t>
        </is>
      </c>
    </row>
    <row r="100">
      <c r="A100" t="inlineStr">
        <is>
          <t>FIND</t>
        </is>
      </c>
      <c r="B100" t="inlineStr">
        <is>
          <t>a-b-c</t>
        </is>
      </c>
      <c r="C100" t="inlineStr">
        <is>
          <t>-</t>
        </is>
      </c>
      <c r="D100">
        <f>FIND(C100,B100)</f>
        <v/>
      </c>
      <c r="E100" t="inlineStr">
        <is>
          <t>查找位置</t>
        </is>
      </c>
    </row>
    <row r="101">
      <c r="A101" t="inlineStr">
        <is>
          <t>SEARCH</t>
        </is>
      </c>
      <c r="B101" t="inlineStr">
        <is>
          <t>a-b-c</t>
        </is>
      </c>
      <c r="C101" t="inlineStr">
        <is>
          <t>-</t>
        </is>
      </c>
      <c r="D101">
        <f>SEARCH(C101,B101)</f>
        <v/>
      </c>
      <c r="E101" t="inlineStr">
        <is>
          <t>查找(不区分大小写)</t>
        </is>
      </c>
    </row>
    <row r="102">
      <c r="A102" t="inlineStr">
        <is>
          <t>TEXT</t>
        </is>
      </c>
      <c r="B102" t="n">
        <v>1234.5</v>
      </c>
      <c r="D102">
        <f>TEXT(B102,"0.00")</f>
        <v/>
      </c>
      <c r="E102" t="inlineStr">
        <is>
          <t>格式化为文本</t>
        </is>
      </c>
    </row>
    <row r="103">
      <c r="A103" t="inlineStr">
        <is>
          <t>VALUE</t>
        </is>
      </c>
      <c r="B103" t="inlineStr">
        <is>
          <t>123</t>
        </is>
      </c>
      <c r="D103">
        <f>VALUE(B103)</f>
        <v/>
      </c>
      <c r="E103" t="inlineStr">
        <is>
          <t>文本转数值</t>
        </is>
      </c>
    </row>
    <row r="104">
      <c r="A104" t="inlineStr">
        <is>
          <t>(文本函数预留 21)</t>
        </is>
      </c>
    </row>
    <row r="105">
      <c r="A105" t="inlineStr">
        <is>
          <t>(文本函数预留 22)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8" customWidth="1" min="4" max="4"/>
    <col width="10" customWidth="1" min="5" max="5"/>
    <col width="12" customWidth="1" min="6" max="6"/>
    <col width="30" customWidth="1" min="7" max="7"/>
  </cols>
  <sheetData>
    <row r="1">
      <c r="A1" s="1" t="inlineStr">
        <is>
          <t>质量检查清单</t>
        </is>
      </c>
    </row>
    <row r="3">
      <c r="A3" s="2" t="inlineStr">
        <is>
          <t>1. 代码检查项</t>
        </is>
      </c>
    </row>
    <row r="4">
      <c r="A4" s="4" t="inlineStr">
        <is>
          <t>序号</t>
        </is>
      </c>
      <c r="B4" s="4" t="inlineStr">
        <is>
          <t>检查项</t>
        </is>
      </c>
      <c r="C4" s="4" t="inlineStr">
        <is>
          <t>分类</t>
        </is>
      </c>
      <c r="D4" s="4" t="inlineStr">
        <is>
          <t>优先级</t>
        </is>
      </c>
      <c r="E4" s="4" t="inlineStr">
        <is>
          <t>状态</t>
        </is>
      </c>
      <c r="F4" s="4" t="inlineStr">
        <is>
          <t>负责人</t>
        </is>
      </c>
      <c r="G4" s="4" t="inlineStr">
        <is>
          <t>备注</t>
        </is>
      </c>
    </row>
    <row r="5">
      <c r="A5" t="n">
        <v>1</v>
      </c>
      <c r="B5" t="inlineStr">
        <is>
          <t>命名是否符合规范 - 第1项</t>
        </is>
      </c>
      <c r="C5" t="inlineStr">
        <is>
          <t>代码规范</t>
        </is>
      </c>
      <c r="D5" t="inlineStr">
        <is>
          <t>高</t>
        </is>
      </c>
      <c r="E5" t="inlineStr">
        <is>
          <t>通过</t>
        </is>
      </c>
      <c r="F5" t="inlineStr">
        <is>
          <t>张三</t>
        </is>
      </c>
      <c r="G5" t="inlineStr">
        <is>
          <t>备注 1</t>
        </is>
      </c>
    </row>
    <row r="6">
      <c r="A6" t="n">
        <v>2</v>
      </c>
      <c r="B6" t="inlineStr">
        <is>
          <t>是否有 SQL 注入风险 - 第2项</t>
        </is>
      </c>
      <c r="C6" t="inlineStr">
        <is>
          <t>安全</t>
        </is>
      </c>
      <c r="D6" t="inlineStr">
        <is>
          <t>中</t>
        </is>
      </c>
      <c r="E6" t="inlineStr">
        <is>
          <t>未通过</t>
        </is>
      </c>
      <c r="F6" t="inlineStr">
        <is>
          <t>李四</t>
        </is>
      </c>
      <c r="G6" t="inlineStr">
        <is>
          <t>备注 2</t>
        </is>
      </c>
    </row>
    <row r="7">
      <c r="A7" t="n">
        <v>3</v>
      </c>
      <c r="B7" t="inlineStr">
        <is>
          <t>是否处理空指针 - 第3项</t>
        </is>
      </c>
      <c r="C7" t="inlineStr">
        <is>
          <t>性能</t>
        </is>
      </c>
      <c r="D7" t="inlineStr">
        <is>
          <t>低</t>
        </is>
      </c>
      <c r="E7" t="inlineStr">
        <is>
          <t>待检查</t>
        </is>
      </c>
      <c r="F7" t="inlineStr">
        <is>
          <t>王五</t>
        </is>
      </c>
      <c r="G7" t="inlineStr">
        <is>
          <t>备注 3</t>
        </is>
      </c>
    </row>
    <row r="8">
      <c r="A8" t="n">
        <v>4</v>
      </c>
      <c r="B8" t="inlineStr">
        <is>
          <t>函数圈复杂度是否过高 - 第4项</t>
        </is>
      </c>
      <c r="C8" t="inlineStr">
        <is>
          <t>可维护性</t>
        </is>
      </c>
      <c r="D8" t="inlineStr">
        <is>
          <t>高</t>
        </is>
      </c>
      <c r="E8" t="inlineStr">
        <is>
          <t>通过</t>
        </is>
      </c>
      <c r="F8" t="inlineStr">
        <is>
          <t>赵六</t>
        </is>
      </c>
      <c r="G8" t="inlineStr">
        <is>
          <t>备注 4</t>
        </is>
      </c>
    </row>
    <row r="9">
      <c r="A9" t="n">
        <v>5</v>
      </c>
      <c r="B9" t="inlineStr">
        <is>
          <t>是否覆盖单元测试 - 第5项</t>
        </is>
      </c>
      <c r="C9" t="inlineStr">
        <is>
          <t>测试</t>
        </is>
      </c>
      <c r="D9" t="inlineStr">
        <is>
          <t>中</t>
        </is>
      </c>
      <c r="E9" t="inlineStr">
        <is>
          <t>未通过</t>
        </is>
      </c>
      <c r="F9" t="inlineStr">
        <is>
          <t>张三</t>
        </is>
      </c>
      <c r="G9" t="inlineStr">
        <is>
          <t>备注 5</t>
        </is>
      </c>
    </row>
    <row r="10">
      <c r="A10" t="n">
        <v>6</v>
      </c>
      <c r="B10" t="inlineStr">
        <is>
          <t>接口文档是否齐全 - 第6项</t>
        </is>
      </c>
      <c r="C10" t="inlineStr">
        <is>
          <t>文档</t>
        </is>
      </c>
      <c r="D10" t="inlineStr">
        <is>
          <t>低</t>
        </is>
      </c>
      <c r="E10" t="inlineStr">
        <is>
          <t>待检查</t>
        </is>
      </c>
      <c r="F10" t="inlineStr">
        <is>
          <t>李四</t>
        </is>
      </c>
      <c r="G10" t="inlineStr">
        <is>
          <t>备注 6</t>
        </is>
      </c>
    </row>
    <row r="11">
      <c r="A11" t="n">
        <v>7</v>
      </c>
      <c r="B11" t="inlineStr">
        <is>
          <t>是否兼容旧版本 - 第7项</t>
        </is>
      </c>
      <c r="C11" t="inlineStr">
        <is>
          <t>兼容性</t>
        </is>
      </c>
      <c r="D11" t="inlineStr">
        <is>
          <t>高</t>
        </is>
      </c>
      <c r="E11" t="inlineStr">
        <is>
          <t>通过</t>
        </is>
      </c>
      <c r="F11" t="inlineStr">
        <is>
          <t>王五</t>
        </is>
      </c>
      <c r="G11" t="inlineStr">
        <is>
          <t>备注 7</t>
        </is>
      </c>
    </row>
    <row r="12">
      <c r="A12" t="n">
        <v>8</v>
      </c>
      <c r="B12" t="inlineStr">
        <is>
          <t>敏感信息是否脱敏 - 第8项</t>
        </is>
      </c>
      <c r="C12" t="inlineStr">
        <is>
          <t>代码规范</t>
        </is>
      </c>
      <c r="D12" t="inlineStr">
        <is>
          <t>中</t>
        </is>
      </c>
      <c r="E12" t="inlineStr">
        <is>
          <t>未通过</t>
        </is>
      </c>
      <c r="F12" t="inlineStr">
        <is>
          <t>赵六</t>
        </is>
      </c>
      <c r="G12" t="inlineStr">
        <is>
          <t>备注 8</t>
        </is>
      </c>
    </row>
    <row r="13">
      <c r="A13" t="n">
        <v>9</v>
      </c>
      <c r="B13" t="inlineStr">
        <is>
          <t>循环是否有性能隐患 - 第9项</t>
        </is>
      </c>
      <c r="C13" t="inlineStr">
        <is>
          <t>安全</t>
        </is>
      </c>
      <c r="D13" t="inlineStr">
        <is>
          <t>低</t>
        </is>
      </c>
      <c r="E13" t="inlineStr">
        <is>
          <t>待检查</t>
        </is>
      </c>
      <c r="F13" t="inlineStr">
        <is>
          <t>张三</t>
        </is>
      </c>
      <c r="G13" t="inlineStr">
        <is>
          <t>备注 9</t>
        </is>
      </c>
    </row>
    <row r="14">
      <c r="A14" t="n">
        <v>10</v>
      </c>
      <c r="B14" t="inlineStr">
        <is>
          <t>异常是否被捕获 - 第10项</t>
        </is>
      </c>
      <c r="C14" t="inlineStr">
        <is>
          <t>性能</t>
        </is>
      </c>
      <c r="D14" t="inlineStr">
        <is>
          <t>高</t>
        </is>
      </c>
      <c r="E14" t="inlineStr">
        <is>
          <t>通过</t>
        </is>
      </c>
      <c r="F14" t="inlineStr">
        <is>
          <t>李四</t>
        </is>
      </c>
      <c r="G14" t="inlineStr">
        <is>
          <t>备注 10</t>
        </is>
      </c>
    </row>
    <row r="15">
      <c r="A15" t="n">
        <v>11</v>
      </c>
      <c r="B15" t="inlineStr">
        <is>
          <t>日志级别是否合理 - 第11项</t>
        </is>
      </c>
      <c r="C15" t="inlineStr">
        <is>
          <t>可维护性</t>
        </is>
      </c>
      <c r="D15" t="inlineStr">
        <is>
          <t>中</t>
        </is>
      </c>
      <c r="E15" t="inlineStr">
        <is>
          <t>未通过</t>
        </is>
      </c>
      <c r="F15" t="inlineStr">
        <is>
          <t>王五</t>
        </is>
      </c>
      <c r="G15" t="inlineStr">
        <is>
          <t>备注 11</t>
        </is>
      </c>
    </row>
    <row r="16">
      <c r="A16" t="n">
        <v>12</v>
      </c>
      <c r="B16" t="inlineStr">
        <is>
          <t>配置是否可外部化 - 第12项</t>
        </is>
      </c>
      <c r="C16" t="inlineStr">
        <is>
          <t>测试</t>
        </is>
      </c>
      <c r="D16" t="inlineStr">
        <is>
          <t>低</t>
        </is>
      </c>
      <c r="E16" t="inlineStr">
        <is>
          <t>待检查</t>
        </is>
      </c>
      <c r="F16" t="inlineStr">
        <is>
          <t>赵六</t>
        </is>
      </c>
      <c r="G16" t="inlineStr">
        <is>
          <t>备注 12</t>
        </is>
      </c>
    </row>
    <row r="17">
      <c r="A17" t="n">
        <v>13</v>
      </c>
      <c r="B17" t="inlineStr">
        <is>
          <t>是否避免魔法数字 - 第13项</t>
        </is>
      </c>
      <c r="C17" t="inlineStr">
        <is>
          <t>文档</t>
        </is>
      </c>
      <c r="D17" t="inlineStr">
        <is>
          <t>高</t>
        </is>
      </c>
      <c r="E17" t="inlineStr">
        <is>
          <t>通过</t>
        </is>
      </c>
      <c r="F17" t="inlineStr">
        <is>
          <t>张三</t>
        </is>
      </c>
      <c r="G17" t="inlineStr">
        <is>
          <t>备注 13</t>
        </is>
      </c>
    </row>
    <row r="18">
      <c r="A18" t="n">
        <v>14</v>
      </c>
      <c r="B18" t="inlineStr">
        <is>
          <t>是否使用参数化查询 - 第14项</t>
        </is>
      </c>
      <c r="C18" t="inlineStr">
        <is>
          <t>兼容性</t>
        </is>
      </c>
      <c r="D18" t="inlineStr">
        <is>
          <t>中</t>
        </is>
      </c>
      <c r="E18" t="inlineStr">
        <is>
          <t>未通过</t>
        </is>
      </c>
      <c r="F18" t="inlineStr">
        <is>
          <t>李四</t>
        </is>
      </c>
      <c r="G18" t="inlineStr">
        <is>
          <t>备注 14</t>
        </is>
      </c>
    </row>
    <row r="19">
      <c r="A19" t="n">
        <v>15</v>
      </c>
      <c r="B19" t="inlineStr">
        <is>
          <t>是否有内存泄漏 - 第15项</t>
        </is>
      </c>
      <c r="C19" t="inlineStr">
        <is>
          <t>代码规范</t>
        </is>
      </c>
      <c r="D19" t="inlineStr">
        <is>
          <t>低</t>
        </is>
      </c>
      <c r="E19" t="inlineStr">
        <is>
          <t>待检查</t>
        </is>
      </c>
      <c r="F19" t="inlineStr">
        <is>
          <t>王五</t>
        </is>
      </c>
      <c r="G19" t="inlineStr">
        <is>
          <t>备注 15</t>
        </is>
      </c>
    </row>
    <row r="20">
      <c r="A20" t="n">
        <v>16</v>
      </c>
      <c r="B20" t="inlineStr">
        <is>
          <t>是否限制并发数 - 第16项</t>
        </is>
      </c>
      <c r="C20" t="inlineStr">
        <is>
          <t>安全</t>
        </is>
      </c>
      <c r="D20" t="inlineStr">
        <is>
          <t>高</t>
        </is>
      </c>
      <c r="E20" t="inlineStr">
        <is>
          <t>通过</t>
        </is>
      </c>
      <c r="F20" t="inlineStr">
        <is>
          <t>赵六</t>
        </is>
      </c>
      <c r="G20" t="inlineStr">
        <is>
          <t>备注 16</t>
        </is>
      </c>
    </row>
    <row r="21">
      <c r="A21" t="n">
        <v>17</v>
      </c>
      <c r="B21" t="inlineStr">
        <is>
          <t>测试覆盖率是否达标 - 第17项</t>
        </is>
      </c>
      <c r="C21" t="inlineStr">
        <is>
          <t>性能</t>
        </is>
      </c>
      <c r="D21" t="inlineStr">
        <is>
          <t>中</t>
        </is>
      </c>
      <c r="E21" t="inlineStr">
        <is>
          <t>未通过</t>
        </is>
      </c>
      <c r="F21" t="inlineStr">
        <is>
          <t>张三</t>
        </is>
      </c>
      <c r="G21" t="inlineStr">
        <is>
          <t>备注 17</t>
        </is>
      </c>
    </row>
    <row r="22">
      <c r="A22" t="n">
        <v>18</v>
      </c>
      <c r="B22" t="inlineStr">
        <is>
          <t>README 是否更新 - 第18项</t>
        </is>
      </c>
      <c r="C22" t="inlineStr">
        <is>
          <t>可维护性</t>
        </is>
      </c>
      <c r="D22" t="inlineStr">
        <is>
          <t>低</t>
        </is>
      </c>
      <c r="E22" t="inlineStr">
        <is>
          <t>待检查</t>
        </is>
      </c>
      <c r="F22" t="inlineStr">
        <is>
          <t>李四</t>
        </is>
      </c>
      <c r="G22" t="inlineStr">
        <is>
          <t>备注 18</t>
        </is>
      </c>
    </row>
    <row r="23">
      <c r="A23" t="n">
        <v>19</v>
      </c>
      <c r="B23" t="inlineStr">
        <is>
          <t>是否支持主流浏览器 - 第19项</t>
        </is>
      </c>
      <c r="C23" t="inlineStr">
        <is>
          <t>测试</t>
        </is>
      </c>
      <c r="D23" t="inlineStr">
        <is>
          <t>高</t>
        </is>
      </c>
      <c r="E23" t="inlineStr">
        <is>
          <t>通过</t>
        </is>
      </c>
      <c r="F23" t="inlineStr">
        <is>
          <t>王五</t>
        </is>
      </c>
      <c r="G23" t="inlineStr">
        <is>
          <t>备注 19</t>
        </is>
      </c>
    </row>
    <row r="24">
      <c r="A24" t="n">
        <v>20</v>
      </c>
      <c r="B24" t="inlineStr">
        <is>
          <t>密码是否加密存储 - 第20项</t>
        </is>
      </c>
      <c r="C24" t="inlineStr">
        <is>
          <t>文档</t>
        </is>
      </c>
      <c r="D24" t="inlineStr">
        <is>
          <t>中</t>
        </is>
      </c>
      <c r="E24" t="inlineStr">
        <is>
          <t>未通过</t>
        </is>
      </c>
      <c r="F24" t="inlineStr">
        <is>
          <t>赵六</t>
        </is>
      </c>
      <c r="G24" t="inlineStr">
        <is>
          <t>备注 20</t>
        </is>
      </c>
    </row>
    <row r="25">
      <c r="A25" t="n">
        <v>21</v>
      </c>
      <c r="B25" t="inlineStr">
        <is>
          <t>是否有重复代码 - 第21项</t>
        </is>
      </c>
      <c r="C25" t="inlineStr">
        <is>
          <t>兼容性</t>
        </is>
      </c>
      <c r="D25" t="inlineStr">
        <is>
          <t>低</t>
        </is>
      </c>
      <c r="E25" t="inlineStr">
        <is>
          <t>待检查</t>
        </is>
      </c>
      <c r="F25" t="inlineStr">
        <is>
          <t>张三</t>
        </is>
      </c>
      <c r="G25" t="inlineStr">
        <is>
          <t>备注 21</t>
        </is>
      </c>
    </row>
    <row r="26">
      <c r="A26" t="n">
        <v>22</v>
      </c>
      <c r="B26" t="inlineStr">
        <is>
          <t>是否校验输入长度 - 第22项</t>
        </is>
      </c>
      <c r="C26" t="inlineStr">
        <is>
          <t>代码规范</t>
        </is>
      </c>
      <c r="D26" t="inlineStr">
        <is>
          <t>高</t>
        </is>
      </c>
      <c r="E26" t="inlineStr">
        <is>
          <t>通过</t>
        </is>
      </c>
      <c r="F26" t="inlineStr">
        <is>
          <t>李四</t>
        </is>
      </c>
      <c r="G26" t="inlineStr">
        <is>
          <t>备注 22</t>
        </is>
      </c>
    </row>
    <row r="27">
      <c r="A27" t="n">
        <v>23</v>
      </c>
      <c r="B27" t="inlineStr">
        <is>
          <t>是否缓存热点数据 - 第23项</t>
        </is>
      </c>
      <c r="C27" t="inlineStr">
        <is>
          <t>安全</t>
        </is>
      </c>
      <c r="D27" t="inlineStr">
        <is>
          <t>中</t>
        </is>
      </c>
      <c r="E27" t="inlineStr">
        <is>
          <t>未通过</t>
        </is>
      </c>
      <c r="F27" t="inlineStr">
        <is>
          <t>王五</t>
        </is>
      </c>
      <c r="G27" t="inlineStr">
        <is>
          <t>备注 23</t>
        </is>
      </c>
    </row>
    <row r="28">
      <c r="A28" t="n">
        <v>24</v>
      </c>
      <c r="B28" t="inlineStr">
        <is>
          <t>是否定义清晰边界 - 第24项</t>
        </is>
      </c>
      <c r="C28" t="inlineStr">
        <is>
          <t>性能</t>
        </is>
      </c>
      <c r="D28" t="inlineStr">
        <is>
          <t>低</t>
        </is>
      </c>
      <c r="E28" t="inlineStr">
        <is>
          <t>待检查</t>
        </is>
      </c>
      <c r="F28" t="inlineStr">
        <is>
          <t>赵六</t>
        </is>
      </c>
      <c r="G28" t="inlineStr">
        <is>
          <t>备注 24</t>
        </is>
      </c>
    </row>
    <row r="29">
      <c r="A29" t="n">
        <v>25</v>
      </c>
      <c r="B29" t="inlineStr">
        <is>
          <t>是否有集成测试 - 第25项</t>
        </is>
      </c>
      <c r="C29" t="inlineStr">
        <is>
          <t>可维护性</t>
        </is>
      </c>
      <c r="D29" t="inlineStr">
        <is>
          <t>高</t>
        </is>
      </c>
      <c r="E29" t="inlineStr">
        <is>
          <t>通过</t>
        </is>
      </c>
      <c r="F29" t="inlineStr">
        <is>
          <t>张三</t>
        </is>
      </c>
      <c r="G29" t="inlineStr">
        <is>
          <t>备注 25</t>
        </is>
      </c>
    </row>
    <row r="30">
      <c r="A30" t="n">
        <v>26</v>
      </c>
      <c r="B30" t="inlineStr">
        <is>
          <t>注释是否完整 - 第26项</t>
        </is>
      </c>
      <c r="C30" t="inlineStr">
        <is>
          <t>测试</t>
        </is>
      </c>
      <c r="D30" t="inlineStr">
        <is>
          <t>中</t>
        </is>
      </c>
      <c r="E30" t="inlineStr">
        <is>
          <t>未通过</t>
        </is>
      </c>
      <c r="F30" t="inlineStr">
        <is>
          <t>李四</t>
        </is>
      </c>
      <c r="G30" t="inlineStr">
        <is>
          <t>备注 26</t>
        </is>
      </c>
    </row>
    <row r="31">
      <c r="A31" t="n">
        <v>27</v>
      </c>
      <c r="B31" t="inlineStr">
        <is>
          <t>是否处理时区 - 第27项</t>
        </is>
      </c>
      <c r="C31" t="inlineStr">
        <is>
          <t>文档</t>
        </is>
      </c>
      <c r="D31" t="inlineStr">
        <is>
          <t>低</t>
        </is>
      </c>
      <c r="E31" t="inlineStr">
        <is>
          <t>待检查</t>
        </is>
      </c>
      <c r="F31" t="inlineStr">
        <is>
          <t>王五</t>
        </is>
      </c>
      <c r="G31" t="inlineStr">
        <is>
          <t>备注 27</t>
        </is>
      </c>
    </row>
    <row r="32">
      <c r="A32" t="n">
        <v>28</v>
      </c>
      <c r="B32" t="inlineStr">
        <is>
          <t>是否避免硬编码密钥 - 第28项</t>
        </is>
      </c>
      <c r="C32" t="inlineStr">
        <is>
          <t>兼容性</t>
        </is>
      </c>
      <c r="D32" t="inlineStr">
        <is>
          <t>高</t>
        </is>
      </c>
      <c r="E32" t="inlineStr">
        <is>
          <t>通过</t>
        </is>
      </c>
      <c r="F32" t="inlineStr">
        <is>
          <t>赵六</t>
        </is>
      </c>
      <c r="G32" t="inlineStr">
        <is>
          <t>备注 28</t>
        </is>
      </c>
    </row>
    <row r="33">
      <c r="A33" t="n">
        <v>29</v>
      </c>
      <c r="B33" t="inlineStr">
        <is>
          <t>是否使用批量操作 - 第29项</t>
        </is>
      </c>
      <c r="C33" t="inlineStr">
        <is>
          <t>代码规范</t>
        </is>
      </c>
      <c r="D33" t="inlineStr">
        <is>
          <t>中</t>
        </is>
      </c>
      <c r="E33" t="inlineStr">
        <is>
          <t>未通过</t>
        </is>
      </c>
      <c r="F33" t="inlineStr">
        <is>
          <t>张三</t>
        </is>
      </c>
      <c r="G33" t="inlineStr">
        <is>
          <t>备注 29</t>
        </is>
      </c>
    </row>
    <row r="34">
      <c r="A34" t="n">
        <v>30</v>
      </c>
      <c r="B34" t="inlineStr">
        <is>
          <t>是否定义超时时间 - 第30项</t>
        </is>
      </c>
      <c r="C34" t="inlineStr">
        <is>
          <t>安全</t>
        </is>
      </c>
      <c r="D34" t="inlineStr">
        <is>
          <t>低</t>
        </is>
      </c>
      <c r="E34" t="inlineStr">
        <is>
          <t>待检查</t>
        </is>
      </c>
      <c r="F34" t="inlineStr">
        <is>
          <t>李四</t>
        </is>
      </c>
      <c r="G34" t="inlineStr">
        <is>
          <t>备注 30</t>
        </is>
      </c>
    </row>
    <row r="35">
      <c r="A35" t="n">
        <v>31</v>
      </c>
      <c r="B35" t="inlineStr">
        <is>
          <t>是否有回归测试 - 第31项</t>
        </is>
      </c>
      <c r="C35" t="inlineStr">
        <is>
          <t>性能</t>
        </is>
      </c>
      <c r="D35" t="inlineStr">
        <is>
          <t>高</t>
        </is>
      </c>
      <c r="E35" t="inlineStr">
        <is>
          <t>通过</t>
        </is>
      </c>
      <c r="F35" t="inlineStr">
        <is>
          <t>王五</t>
        </is>
      </c>
      <c r="G35" t="inlineStr">
        <is>
          <t>备注 31</t>
        </is>
      </c>
    </row>
    <row r="36">
      <c r="A36" t="n">
        <v>32</v>
      </c>
      <c r="B36" t="inlineStr">
        <is>
          <t>变更日志是否记录 - 第32项</t>
        </is>
      </c>
      <c r="C36" t="inlineStr">
        <is>
          <t>可维护性</t>
        </is>
      </c>
      <c r="D36" t="inlineStr">
        <is>
          <t>中</t>
        </is>
      </c>
      <c r="E36" t="inlineStr">
        <is>
          <t>未通过</t>
        </is>
      </c>
      <c r="F36" t="inlineStr">
        <is>
          <t>赵六</t>
        </is>
      </c>
      <c r="G36" t="inlineStr">
        <is>
          <t>备注 32</t>
        </is>
      </c>
    </row>
    <row r="37">
      <c r="A37" t="n">
        <v>33</v>
      </c>
      <c r="B37" t="inlineStr">
        <is>
          <t>是否支持移动端 - 第33项</t>
        </is>
      </c>
      <c r="C37" t="inlineStr">
        <is>
          <t>测试</t>
        </is>
      </c>
      <c r="D37" t="inlineStr">
        <is>
          <t>低</t>
        </is>
      </c>
      <c r="E37" t="inlineStr">
        <is>
          <t>待检查</t>
        </is>
      </c>
      <c r="F37" t="inlineStr">
        <is>
          <t>张三</t>
        </is>
      </c>
      <c r="G37" t="inlineStr">
        <is>
          <t>备注 33</t>
        </is>
      </c>
    </row>
    <row r="38">
      <c r="A38" t="n">
        <v>34</v>
      </c>
      <c r="B38" t="inlineStr">
        <is>
          <t>是否启用 HTTPS - 第34项</t>
        </is>
      </c>
      <c r="C38" t="inlineStr">
        <is>
          <t>文档</t>
        </is>
      </c>
      <c r="D38" t="inlineStr">
        <is>
          <t>高</t>
        </is>
      </c>
      <c r="E38" t="inlineStr">
        <is>
          <t>通过</t>
        </is>
      </c>
      <c r="F38" t="inlineStr">
        <is>
          <t>李四</t>
        </is>
      </c>
      <c r="G38" t="inlineStr">
        <is>
          <t>备注 34</t>
        </is>
      </c>
    </row>
    <row r="39">
      <c r="A39" t="n">
        <v>35</v>
      </c>
      <c r="B39" t="inlineStr">
        <is>
          <t>是否消除冗余查询 - 第35项</t>
        </is>
      </c>
      <c r="C39" t="inlineStr">
        <is>
          <t>兼容性</t>
        </is>
      </c>
      <c r="D39" t="inlineStr">
        <is>
          <t>中</t>
        </is>
      </c>
      <c r="E39" t="inlineStr">
        <is>
          <t>未通过</t>
        </is>
      </c>
      <c r="F39" t="inlineStr">
        <is>
          <t>王五</t>
        </is>
      </c>
      <c r="G39" t="inlineStr">
        <is>
          <t>备注 35</t>
        </is>
      </c>
    </row>
    <row r="40">
      <c r="A40" t="n">
        <v>36</v>
      </c>
      <c r="B40" t="inlineStr">
        <is>
          <t>类是否单一职责 - 第36项</t>
        </is>
      </c>
      <c r="C40" t="inlineStr">
        <is>
          <t>代码规范</t>
        </is>
      </c>
      <c r="D40" t="inlineStr">
        <is>
          <t>低</t>
        </is>
      </c>
      <c r="E40" t="inlineStr">
        <is>
          <t>待检查</t>
        </is>
      </c>
      <c r="F40" t="inlineStr">
        <is>
          <t>赵六</t>
        </is>
      </c>
      <c r="G40" t="inlineStr">
        <is>
          <t>备注 36</t>
        </is>
      </c>
    </row>
    <row r="41">
      <c r="A41" t="n">
        <v>37</v>
      </c>
      <c r="B41" t="inlineStr">
        <is>
          <t>是否有压力测试 - 第37项</t>
        </is>
      </c>
      <c r="C41" t="inlineStr">
        <is>
          <t>安全</t>
        </is>
      </c>
      <c r="D41" t="inlineStr">
        <is>
          <t>高</t>
        </is>
      </c>
      <c r="E41" t="inlineStr">
        <is>
          <t>通过</t>
        </is>
      </c>
      <c r="F41" t="inlineStr">
        <is>
          <t>张三</t>
        </is>
      </c>
      <c r="G41" t="inlineStr">
        <is>
          <t>备注 37</t>
        </is>
      </c>
    </row>
    <row r="42">
      <c r="A42" t="n">
        <v>38</v>
      </c>
      <c r="B42" t="inlineStr">
        <is>
          <t>API 示例是否提供 - 第38项</t>
        </is>
      </c>
      <c r="C42" t="inlineStr">
        <is>
          <t>性能</t>
        </is>
      </c>
      <c r="D42" t="inlineStr">
        <is>
          <t>中</t>
        </is>
      </c>
      <c r="E42" t="inlineStr">
        <is>
          <t>未通过</t>
        </is>
      </c>
      <c r="F42" t="inlineStr">
        <is>
          <t>李四</t>
        </is>
      </c>
      <c r="G42" t="inlineStr">
        <is>
          <t>备注 38</t>
        </is>
      </c>
    </row>
    <row r="43">
      <c r="A43" t="n">
        <v>39</v>
      </c>
      <c r="B43" t="inlineStr">
        <is>
          <t>是否向后兼容 - 第39项</t>
        </is>
      </c>
      <c r="C43" t="inlineStr">
        <is>
          <t>可维护性</t>
        </is>
      </c>
      <c r="D43" t="inlineStr">
        <is>
          <t>低</t>
        </is>
      </c>
      <c r="E43" t="inlineStr">
        <is>
          <t>待检查</t>
        </is>
      </c>
      <c r="F43" t="inlineStr">
        <is>
          <t>王五</t>
        </is>
      </c>
      <c r="G43" t="inlineStr">
        <is>
          <t>备注 39</t>
        </is>
      </c>
    </row>
    <row r="44">
      <c r="A44" t="n">
        <v>40</v>
      </c>
      <c r="B44" t="inlineStr">
        <is>
          <t>是否校验文件类型 - 第40项</t>
        </is>
      </c>
      <c r="C44" t="inlineStr">
        <is>
          <t>测试</t>
        </is>
      </c>
      <c r="D44" t="inlineStr">
        <is>
          <t>高</t>
        </is>
      </c>
      <c r="E44" t="inlineStr">
        <is>
          <t>通过</t>
        </is>
      </c>
      <c r="F44" t="inlineStr">
        <is>
          <t>赵六</t>
        </is>
      </c>
      <c r="G44" t="inlineStr">
        <is>
          <t>备注 40</t>
        </is>
      </c>
    </row>
    <row r="45">
      <c r="A45" t="n">
        <v>41</v>
      </c>
      <c r="B45" t="inlineStr">
        <is>
          <t>命名是否符合规范 - 第41项</t>
        </is>
      </c>
      <c r="C45" t="inlineStr">
        <is>
          <t>文档</t>
        </is>
      </c>
      <c r="D45" t="inlineStr">
        <is>
          <t>中</t>
        </is>
      </c>
      <c r="E45" t="inlineStr">
        <is>
          <t>未通过</t>
        </is>
      </c>
      <c r="F45" t="inlineStr">
        <is>
          <t>张三</t>
        </is>
      </c>
      <c r="G45" t="inlineStr">
        <is>
          <t>备注 41</t>
        </is>
      </c>
    </row>
    <row r="46">
      <c r="A46" t="n">
        <v>42</v>
      </c>
      <c r="B46" t="inlineStr">
        <is>
          <t>是否有 SQL 注入风险 - 第42项</t>
        </is>
      </c>
      <c r="C46" t="inlineStr">
        <is>
          <t>兼容性</t>
        </is>
      </c>
      <c r="D46" t="inlineStr">
        <is>
          <t>低</t>
        </is>
      </c>
      <c r="E46" t="inlineStr">
        <is>
          <t>待检查</t>
        </is>
      </c>
      <c r="F46" t="inlineStr">
        <is>
          <t>李四</t>
        </is>
      </c>
      <c r="G46" t="inlineStr">
        <is>
          <t>备注 42</t>
        </is>
      </c>
    </row>
    <row r="47">
      <c r="A47" t="n">
        <v>43</v>
      </c>
      <c r="B47" t="inlineStr">
        <is>
          <t>是否处理空指针 - 第43项</t>
        </is>
      </c>
      <c r="C47" t="inlineStr">
        <is>
          <t>代码规范</t>
        </is>
      </c>
      <c r="D47" t="inlineStr">
        <is>
          <t>高</t>
        </is>
      </c>
      <c r="E47" t="inlineStr">
        <is>
          <t>通过</t>
        </is>
      </c>
      <c r="F47" t="inlineStr">
        <is>
          <t>王五</t>
        </is>
      </c>
      <c r="G47" t="inlineStr">
        <is>
          <t>备注 43</t>
        </is>
      </c>
    </row>
    <row r="48">
      <c r="A48" t="n">
        <v>44</v>
      </c>
      <c r="B48" t="inlineStr">
        <is>
          <t>函数圈复杂度是否过高 - 第44项</t>
        </is>
      </c>
      <c r="C48" t="inlineStr">
        <is>
          <t>安全</t>
        </is>
      </c>
      <c r="D48" t="inlineStr">
        <is>
          <t>中</t>
        </is>
      </c>
      <c r="E48" t="inlineStr">
        <is>
          <t>未通过</t>
        </is>
      </c>
      <c r="F48" t="inlineStr">
        <is>
          <t>赵六</t>
        </is>
      </c>
      <c r="G48" t="inlineStr">
        <is>
          <t>备注 44</t>
        </is>
      </c>
    </row>
    <row r="49">
      <c r="A49" t="n">
        <v>45</v>
      </c>
      <c r="B49" t="inlineStr">
        <is>
          <t>是否覆盖单元测试 - 第45项</t>
        </is>
      </c>
      <c r="C49" t="inlineStr">
        <is>
          <t>性能</t>
        </is>
      </c>
      <c r="D49" t="inlineStr">
        <is>
          <t>低</t>
        </is>
      </c>
      <c r="E49" t="inlineStr">
        <is>
          <t>待检查</t>
        </is>
      </c>
      <c r="F49" t="inlineStr">
        <is>
          <t>张三</t>
        </is>
      </c>
      <c r="G49" t="inlineStr">
        <is>
          <t>备注 45</t>
        </is>
      </c>
    </row>
    <row r="50">
      <c r="A50" t="n">
        <v>46</v>
      </c>
      <c r="B50" t="inlineStr">
        <is>
          <t>接口文档是否齐全 - 第46项</t>
        </is>
      </c>
      <c r="C50" t="inlineStr">
        <is>
          <t>可维护性</t>
        </is>
      </c>
      <c r="D50" t="inlineStr">
        <is>
          <t>高</t>
        </is>
      </c>
      <c r="E50" t="inlineStr">
        <is>
          <t>通过</t>
        </is>
      </c>
      <c r="F50" t="inlineStr">
        <is>
          <t>李四</t>
        </is>
      </c>
      <c r="G50" t="inlineStr">
        <is>
          <t>备注 46</t>
        </is>
      </c>
    </row>
    <row r="51">
      <c r="A51" t="n">
        <v>47</v>
      </c>
      <c r="B51" t="inlineStr">
        <is>
          <t>是否兼容旧版本 - 第47项</t>
        </is>
      </c>
      <c r="C51" t="inlineStr">
        <is>
          <t>测试</t>
        </is>
      </c>
      <c r="D51" t="inlineStr">
        <is>
          <t>中</t>
        </is>
      </c>
      <c r="E51" t="inlineStr">
        <is>
          <t>未通过</t>
        </is>
      </c>
      <c r="F51" t="inlineStr">
        <is>
          <t>王五</t>
        </is>
      </c>
      <c r="G51" t="inlineStr">
        <is>
          <t>备注 47</t>
        </is>
      </c>
    </row>
    <row r="52">
      <c r="A52" t="n">
        <v>48</v>
      </c>
      <c r="B52" t="inlineStr">
        <is>
          <t>敏感信息是否脱敏 - 第48项</t>
        </is>
      </c>
      <c r="C52" t="inlineStr">
        <is>
          <t>文档</t>
        </is>
      </c>
      <c r="D52" t="inlineStr">
        <is>
          <t>低</t>
        </is>
      </c>
      <c r="E52" t="inlineStr">
        <is>
          <t>待检查</t>
        </is>
      </c>
      <c r="F52" t="inlineStr">
        <is>
          <t>赵六</t>
        </is>
      </c>
      <c r="G52" t="inlineStr">
        <is>
          <t>备注 48</t>
        </is>
      </c>
    </row>
    <row r="53">
      <c r="A53" t="n">
        <v>49</v>
      </c>
      <c r="B53" t="inlineStr">
        <is>
          <t>循环是否有性能隐患 - 第49项</t>
        </is>
      </c>
      <c r="C53" t="inlineStr">
        <is>
          <t>兼容性</t>
        </is>
      </c>
      <c r="D53" t="inlineStr">
        <is>
          <t>高</t>
        </is>
      </c>
      <c r="E53" t="inlineStr">
        <is>
          <t>通过</t>
        </is>
      </c>
      <c r="F53" t="inlineStr">
        <is>
          <t>张三</t>
        </is>
      </c>
      <c r="G53" t="inlineStr">
        <is>
          <t>备注 49</t>
        </is>
      </c>
    </row>
    <row r="54">
      <c r="A54" t="n">
        <v>50</v>
      </c>
      <c r="B54" t="inlineStr">
        <is>
          <t>异常是否被捕获 - 第50项</t>
        </is>
      </c>
      <c r="C54" t="inlineStr">
        <is>
          <t>代码规范</t>
        </is>
      </c>
      <c r="D54" t="inlineStr">
        <is>
          <t>中</t>
        </is>
      </c>
      <c r="E54" t="inlineStr">
        <is>
          <t>未通过</t>
        </is>
      </c>
      <c r="F54" t="inlineStr">
        <is>
          <t>李四</t>
        </is>
      </c>
      <c r="G54" t="inlineStr">
        <is>
          <t>备注 50</t>
        </is>
      </c>
    </row>
    <row r="55">
      <c r="A55" t="n">
        <v>51</v>
      </c>
      <c r="B55" t="inlineStr">
        <is>
          <t>日志级别是否合理 - 第51项</t>
        </is>
      </c>
      <c r="C55" t="inlineStr">
        <is>
          <t>安全</t>
        </is>
      </c>
      <c r="D55" t="inlineStr">
        <is>
          <t>低</t>
        </is>
      </c>
      <c r="E55" t="inlineStr">
        <is>
          <t>待检查</t>
        </is>
      </c>
      <c r="F55" t="inlineStr">
        <is>
          <t>王五</t>
        </is>
      </c>
      <c r="G55" t="inlineStr">
        <is>
          <t>备注 51</t>
        </is>
      </c>
    </row>
    <row r="56">
      <c r="A56" t="n">
        <v>52</v>
      </c>
      <c r="B56" t="inlineStr">
        <is>
          <t>配置是否可外部化 - 第52项</t>
        </is>
      </c>
      <c r="C56" t="inlineStr">
        <is>
          <t>性能</t>
        </is>
      </c>
      <c r="D56" t="inlineStr">
        <is>
          <t>高</t>
        </is>
      </c>
      <c r="E56" t="inlineStr">
        <is>
          <t>通过</t>
        </is>
      </c>
      <c r="F56" t="inlineStr">
        <is>
          <t>赵六</t>
        </is>
      </c>
      <c r="G56" t="inlineStr">
        <is>
          <t>备注 52</t>
        </is>
      </c>
    </row>
    <row r="57">
      <c r="A57" t="n">
        <v>53</v>
      </c>
      <c r="B57" t="inlineStr">
        <is>
          <t>是否避免魔法数字 - 第53项</t>
        </is>
      </c>
      <c r="C57" t="inlineStr">
        <is>
          <t>可维护性</t>
        </is>
      </c>
      <c r="D57" t="inlineStr">
        <is>
          <t>中</t>
        </is>
      </c>
      <c r="E57" t="inlineStr">
        <is>
          <t>未通过</t>
        </is>
      </c>
      <c r="F57" t="inlineStr">
        <is>
          <t>张三</t>
        </is>
      </c>
      <c r="G57" t="inlineStr">
        <is>
          <t>备注 53</t>
        </is>
      </c>
    </row>
    <row r="58">
      <c r="A58" t="n">
        <v>54</v>
      </c>
      <c r="B58" t="inlineStr">
        <is>
          <t>是否使用参数化查询 - 第54项</t>
        </is>
      </c>
      <c r="C58" t="inlineStr">
        <is>
          <t>测试</t>
        </is>
      </c>
      <c r="D58" t="inlineStr">
        <is>
          <t>低</t>
        </is>
      </c>
      <c r="E58" t="inlineStr">
        <is>
          <t>待检查</t>
        </is>
      </c>
      <c r="F58" t="inlineStr">
        <is>
          <t>李四</t>
        </is>
      </c>
      <c r="G58" t="inlineStr">
        <is>
          <t>备注 54</t>
        </is>
      </c>
    </row>
    <row r="59">
      <c r="A59" t="n">
        <v>55</v>
      </c>
      <c r="B59" t="inlineStr">
        <is>
          <t>是否有内存泄漏 - 第55项</t>
        </is>
      </c>
      <c r="C59" t="inlineStr">
        <is>
          <t>文档</t>
        </is>
      </c>
      <c r="D59" t="inlineStr">
        <is>
          <t>高</t>
        </is>
      </c>
      <c r="E59" t="inlineStr">
        <is>
          <t>通过</t>
        </is>
      </c>
      <c r="F59" t="inlineStr">
        <is>
          <t>王五</t>
        </is>
      </c>
      <c r="G59" t="inlineStr">
        <is>
          <t>备注 55</t>
        </is>
      </c>
    </row>
    <row r="60">
      <c r="A60" t="n">
        <v>56</v>
      </c>
      <c r="B60" t="inlineStr">
        <is>
          <t>是否限制并发数 - 第56项</t>
        </is>
      </c>
      <c r="C60" t="inlineStr">
        <is>
          <t>兼容性</t>
        </is>
      </c>
      <c r="D60" t="inlineStr">
        <is>
          <t>中</t>
        </is>
      </c>
      <c r="E60" t="inlineStr">
        <is>
          <t>未通过</t>
        </is>
      </c>
      <c r="F60" t="inlineStr">
        <is>
          <t>赵六</t>
        </is>
      </c>
      <c r="G60" t="inlineStr">
        <is>
          <t>备注 56</t>
        </is>
      </c>
    </row>
    <row r="61">
      <c r="A61" t="n">
        <v>57</v>
      </c>
      <c r="B61" t="inlineStr">
        <is>
          <t>测试覆盖率是否达标 - 第57项</t>
        </is>
      </c>
      <c r="C61" t="inlineStr">
        <is>
          <t>代码规范</t>
        </is>
      </c>
      <c r="D61" t="inlineStr">
        <is>
          <t>低</t>
        </is>
      </c>
      <c r="E61" t="inlineStr">
        <is>
          <t>待检查</t>
        </is>
      </c>
      <c r="F61" t="inlineStr">
        <is>
          <t>张三</t>
        </is>
      </c>
      <c r="G61" t="inlineStr">
        <is>
          <t>备注 57</t>
        </is>
      </c>
    </row>
    <row r="62">
      <c r="A62" t="n">
        <v>58</v>
      </c>
      <c r="B62" t="inlineStr">
        <is>
          <t>README 是否更新 - 第58项</t>
        </is>
      </c>
      <c r="C62" t="inlineStr">
        <is>
          <t>安全</t>
        </is>
      </c>
      <c r="D62" t="inlineStr">
        <is>
          <t>高</t>
        </is>
      </c>
      <c r="E62" t="inlineStr">
        <is>
          <t>通过</t>
        </is>
      </c>
      <c r="F62" t="inlineStr">
        <is>
          <t>李四</t>
        </is>
      </c>
      <c r="G62" t="inlineStr">
        <is>
          <t>备注 58</t>
        </is>
      </c>
    </row>
    <row r="63">
      <c r="A63" t="n">
        <v>59</v>
      </c>
      <c r="B63" t="inlineStr">
        <is>
          <t>是否支持主流浏览器 - 第59项</t>
        </is>
      </c>
      <c r="C63" t="inlineStr">
        <is>
          <t>性能</t>
        </is>
      </c>
      <c r="D63" t="inlineStr">
        <is>
          <t>中</t>
        </is>
      </c>
      <c r="E63" t="inlineStr">
        <is>
          <t>未通过</t>
        </is>
      </c>
      <c r="F63" t="inlineStr">
        <is>
          <t>王五</t>
        </is>
      </c>
      <c r="G63" t="inlineStr">
        <is>
          <t>备注 59</t>
        </is>
      </c>
    </row>
    <row r="64">
      <c r="A64" t="n">
        <v>60</v>
      </c>
      <c r="B64" t="inlineStr">
        <is>
          <t>密码是否加密存储 - 第60项</t>
        </is>
      </c>
      <c r="C64" t="inlineStr">
        <is>
          <t>可维护性</t>
        </is>
      </c>
      <c r="D64" t="inlineStr">
        <is>
          <t>低</t>
        </is>
      </c>
      <c r="E64" t="inlineStr">
        <is>
          <t>待检查</t>
        </is>
      </c>
      <c r="F64" t="inlineStr">
        <is>
          <t>赵六</t>
        </is>
      </c>
      <c r="G64" t="inlineStr">
        <is>
          <t>备注 60</t>
        </is>
      </c>
    </row>
    <row r="65">
      <c r="A65" t="n">
        <v>61</v>
      </c>
      <c r="B65" t="inlineStr">
        <is>
          <t>是否有重复代码 - 第61项</t>
        </is>
      </c>
      <c r="C65" t="inlineStr">
        <is>
          <t>测试</t>
        </is>
      </c>
      <c r="D65" t="inlineStr">
        <is>
          <t>高</t>
        </is>
      </c>
      <c r="E65" t="inlineStr">
        <is>
          <t>通过</t>
        </is>
      </c>
      <c r="F65" t="inlineStr">
        <is>
          <t>张三</t>
        </is>
      </c>
      <c r="G65" t="inlineStr">
        <is>
          <t>备注 61</t>
        </is>
      </c>
    </row>
    <row r="66">
      <c r="A66" t="n">
        <v>62</v>
      </c>
      <c r="B66" t="inlineStr">
        <is>
          <t>是否校验输入长度 - 第62项</t>
        </is>
      </c>
      <c r="C66" t="inlineStr">
        <is>
          <t>文档</t>
        </is>
      </c>
      <c r="D66" t="inlineStr">
        <is>
          <t>中</t>
        </is>
      </c>
      <c r="E66" t="inlineStr">
        <is>
          <t>未通过</t>
        </is>
      </c>
      <c r="F66" t="inlineStr">
        <is>
          <t>李四</t>
        </is>
      </c>
      <c r="G66" t="inlineStr">
        <is>
          <t>备注 62</t>
        </is>
      </c>
    </row>
    <row r="67">
      <c r="A67" t="n">
        <v>63</v>
      </c>
      <c r="B67" t="inlineStr">
        <is>
          <t>是否缓存热点数据 - 第63项</t>
        </is>
      </c>
      <c r="C67" t="inlineStr">
        <is>
          <t>兼容性</t>
        </is>
      </c>
      <c r="D67" t="inlineStr">
        <is>
          <t>低</t>
        </is>
      </c>
      <c r="E67" t="inlineStr">
        <is>
          <t>待检查</t>
        </is>
      </c>
      <c r="F67" t="inlineStr">
        <is>
          <t>王五</t>
        </is>
      </c>
      <c r="G67" t="inlineStr">
        <is>
          <t>备注 63</t>
        </is>
      </c>
    </row>
    <row r="68">
      <c r="A68" t="n">
        <v>64</v>
      </c>
      <c r="B68" t="inlineStr">
        <is>
          <t>是否定义清晰边界 - 第64项</t>
        </is>
      </c>
      <c r="C68" t="inlineStr">
        <is>
          <t>代码规范</t>
        </is>
      </c>
      <c r="D68" t="inlineStr">
        <is>
          <t>高</t>
        </is>
      </c>
      <c r="E68" t="inlineStr">
        <is>
          <t>通过</t>
        </is>
      </c>
      <c r="F68" t="inlineStr">
        <is>
          <t>赵六</t>
        </is>
      </c>
      <c r="G68" t="inlineStr">
        <is>
          <t>备注 64</t>
        </is>
      </c>
    </row>
    <row r="69">
      <c r="A69" t="n">
        <v>65</v>
      </c>
      <c r="B69" t="inlineStr">
        <is>
          <t>是否有集成测试 - 第65项</t>
        </is>
      </c>
      <c r="C69" t="inlineStr">
        <is>
          <t>安全</t>
        </is>
      </c>
      <c r="D69" t="inlineStr">
        <is>
          <t>中</t>
        </is>
      </c>
      <c r="E69" t="inlineStr">
        <is>
          <t>未通过</t>
        </is>
      </c>
      <c r="F69" t="inlineStr">
        <is>
          <t>张三</t>
        </is>
      </c>
      <c r="G69" t="inlineStr">
        <is>
          <t>备注 65</t>
        </is>
      </c>
    </row>
    <row r="70">
      <c r="A70" t="n">
        <v>66</v>
      </c>
      <c r="B70" t="inlineStr">
        <is>
          <t>注释是否完整 - 第66项</t>
        </is>
      </c>
      <c r="C70" t="inlineStr">
        <is>
          <t>性能</t>
        </is>
      </c>
      <c r="D70" t="inlineStr">
        <is>
          <t>低</t>
        </is>
      </c>
      <c r="E70" t="inlineStr">
        <is>
          <t>待检查</t>
        </is>
      </c>
      <c r="F70" t="inlineStr">
        <is>
          <t>李四</t>
        </is>
      </c>
      <c r="G70" t="inlineStr">
        <is>
          <t>备注 66</t>
        </is>
      </c>
    </row>
    <row r="71">
      <c r="A71" t="n">
        <v>67</v>
      </c>
      <c r="B71" t="inlineStr">
        <is>
          <t>是否处理时区 - 第67项</t>
        </is>
      </c>
      <c r="C71" t="inlineStr">
        <is>
          <t>可维护性</t>
        </is>
      </c>
      <c r="D71" t="inlineStr">
        <is>
          <t>高</t>
        </is>
      </c>
      <c r="E71" t="inlineStr">
        <is>
          <t>通过</t>
        </is>
      </c>
      <c r="F71" t="inlineStr">
        <is>
          <t>王五</t>
        </is>
      </c>
      <c r="G71" t="inlineStr">
        <is>
          <t>备注 67</t>
        </is>
      </c>
    </row>
    <row r="72">
      <c r="A72" t="n">
        <v>68</v>
      </c>
      <c r="B72" t="inlineStr">
        <is>
          <t>是否避免硬编码密钥 - 第68项</t>
        </is>
      </c>
      <c r="C72" t="inlineStr">
        <is>
          <t>测试</t>
        </is>
      </c>
      <c r="D72" t="inlineStr">
        <is>
          <t>中</t>
        </is>
      </c>
      <c r="E72" t="inlineStr">
        <is>
          <t>未通过</t>
        </is>
      </c>
      <c r="F72" t="inlineStr">
        <is>
          <t>赵六</t>
        </is>
      </c>
      <c r="G72" t="inlineStr">
        <is>
          <t>备注 68</t>
        </is>
      </c>
    </row>
    <row r="73">
      <c r="A73" t="n">
        <v>69</v>
      </c>
      <c r="B73" t="inlineStr">
        <is>
          <t>是否使用批量操作 - 第69项</t>
        </is>
      </c>
      <c r="C73" t="inlineStr">
        <is>
          <t>文档</t>
        </is>
      </c>
      <c r="D73" t="inlineStr">
        <is>
          <t>低</t>
        </is>
      </c>
      <c r="E73" t="inlineStr">
        <is>
          <t>待检查</t>
        </is>
      </c>
      <c r="F73" t="inlineStr">
        <is>
          <t>张三</t>
        </is>
      </c>
      <c r="G73" t="inlineStr">
        <is>
          <t>备注 69</t>
        </is>
      </c>
    </row>
    <row r="74">
      <c r="A74" t="n">
        <v>70</v>
      </c>
      <c r="B74" t="inlineStr">
        <is>
          <t>是否定义超时时间 - 第70项</t>
        </is>
      </c>
      <c r="C74" t="inlineStr">
        <is>
          <t>兼容性</t>
        </is>
      </c>
      <c r="D74" t="inlineStr">
        <is>
          <t>高</t>
        </is>
      </c>
      <c r="E74" t="inlineStr">
        <is>
          <t>通过</t>
        </is>
      </c>
      <c r="F74" t="inlineStr">
        <is>
          <t>李四</t>
        </is>
      </c>
      <c r="G74" t="inlineStr">
        <is>
          <t>备注 70</t>
        </is>
      </c>
    </row>
    <row r="75">
      <c r="A75" t="n">
        <v>71</v>
      </c>
      <c r="B75" t="inlineStr">
        <is>
          <t>是否有回归测试 - 第71项</t>
        </is>
      </c>
      <c r="C75" t="inlineStr">
        <is>
          <t>代码规范</t>
        </is>
      </c>
      <c r="D75" t="inlineStr">
        <is>
          <t>中</t>
        </is>
      </c>
      <c r="E75" t="inlineStr">
        <is>
          <t>未通过</t>
        </is>
      </c>
      <c r="F75" t="inlineStr">
        <is>
          <t>王五</t>
        </is>
      </c>
      <c r="G75" t="inlineStr">
        <is>
          <t>备注 71</t>
        </is>
      </c>
    </row>
    <row r="76">
      <c r="A76" t="n">
        <v>72</v>
      </c>
      <c r="B76" t="inlineStr">
        <is>
          <t>变更日志是否记录 - 第72项</t>
        </is>
      </c>
      <c r="C76" t="inlineStr">
        <is>
          <t>安全</t>
        </is>
      </c>
      <c r="D76" t="inlineStr">
        <is>
          <t>低</t>
        </is>
      </c>
      <c r="E76" t="inlineStr">
        <is>
          <t>待检查</t>
        </is>
      </c>
      <c r="F76" t="inlineStr">
        <is>
          <t>赵六</t>
        </is>
      </c>
      <c r="G76" t="inlineStr">
        <is>
          <t>备注 72</t>
        </is>
      </c>
    </row>
    <row r="77">
      <c r="A77" t="n">
        <v>73</v>
      </c>
      <c r="B77" t="inlineStr">
        <is>
          <t>是否支持移动端 - 第73项</t>
        </is>
      </c>
      <c r="C77" t="inlineStr">
        <is>
          <t>性能</t>
        </is>
      </c>
      <c r="D77" t="inlineStr">
        <is>
          <t>高</t>
        </is>
      </c>
      <c r="E77" t="inlineStr">
        <is>
          <t>通过</t>
        </is>
      </c>
      <c r="F77" t="inlineStr">
        <is>
          <t>张三</t>
        </is>
      </c>
      <c r="G77" t="inlineStr">
        <is>
          <t>备注 73</t>
        </is>
      </c>
    </row>
    <row r="78">
      <c r="A78" t="n">
        <v>74</v>
      </c>
      <c r="B78" t="inlineStr">
        <is>
          <t>是否启用 HTTPS - 第74项</t>
        </is>
      </c>
      <c r="C78" t="inlineStr">
        <is>
          <t>可维护性</t>
        </is>
      </c>
      <c r="D78" t="inlineStr">
        <is>
          <t>中</t>
        </is>
      </c>
      <c r="E78" t="inlineStr">
        <is>
          <t>未通过</t>
        </is>
      </c>
      <c r="F78" t="inlineStr">
        <is>
          <t>李四</t>
        </is>
      </c>
      <c r="G78" t="inlineStr">
        <is>
          <t>备注 74</t>
        </is>
      </c>
    </row>
    <row r="79">
      <c r="A79" t="n">
        <v>75</v>
      </c>
      <c r="B79" t="inlineStr">
        <is>
          <t>是否消除冗余查询 - 第75项</t>
        </is>
      </c>
      <c r="C79" t="inlineStr">
        <is>
          <t>测试</t>
        </is>
      </c>
      <c r="D79" t="inlineStr">
        <is>
          <t>低</t>
        </is>
      </c>
      <c r="E79" t="inlineStr">
        <is>
          <t>待检查</t>
        </is>
      </c>
      <c r="F79" t="inlineStr">
        <is>
          <t>王五</t>
        </is>
      </c>
      <c r="G79" t="inlineStr">
        <is>
          <t>备注 75</t>
        </is>
      </c>
    </row>
    <row r="80">
      <c r="A80" t="n">
        <v>76</v>
      </c>
      <c r="B80" t="inlineStr">
        <is>
          <t>类是否单一职责 - 第76项</t>
        </is>
      </c>
      <c r="C80" t="inlineStr">
        <is>
          <t>文档</t>
        </is>
      </c>
      <c r="D80" t="inlineStr">
        <is>
          <t>高</t>
        </is>
      </c>
      <c r="E80" t="inlineStr">
        <is>
          <t>通过</t>
        </is>
      </c>
      <c r="F80" t="inlineStr">
        <is>
          <t>赵六</t>
        </is>
      </c>
      <c r="G80" t="inlineStr">
        <is>
          <t>备注 76</t>
        </is>
      </c>
    </row>
    <row r="81">
      <c r="A81" t="n">
        <v>77</v>
      </c>
      <c r="B81" t="inlineStr">
        <is>
          <t>是否有压力测试 - 第77项</t>
        </is>
      </c>
      <c r="C81" t="inlineStr">
        <is>
          <t>兼容性</t>
        </is>
      </c>
      <c r="D81" t="inlineStr">
        <is>
          <t>中</t>
        </is>
      </c>
      <c r="E81" t="inlineStr">
        <is>
          <t>未通过</t>
        </is>
      </c>
      <c r="F81" t="inlineStr">
        <is>
          <t>张三</t>
        </is>
      </c>
      <c r="G81" t="inlineStr">
        <is>
          <t>备注 77</t>
        </is>
      </c>
    </row>
    <row r="82">
      <c r="A82" t="n">
        <v>78</v>
      </c>
      <c r="B82" t="inlineStr">
        <is>
          <t>API 示例是否提供 - 第78项</t>
        </is>
      </c>
      <c r="C82" t="inlineStr">
        <is>
          <t>代码规范</t>
        </is>
      </c>
      <c r="D82" t="inlineStr">
        <is>
          <t>低</t>
        </is>
      </c>
      <c r="E82" t="inlineStr">
        <is>
          <t>待检查</t>
        </is>
      </c>
      <c r="F82" t="inlineStr">
        <is>
          <t>李四</t>
        </is>
      </c>
      <c r="G82" t="inlineStr">
        <is>
          <t>备注 78</t>
        </is>
      </c>
    </row>
    <row r="83">
      <c r="A83" t="n">
        <v>79</v>
      </c>
      <c r="B83" t="inlineStr">
        <is>
          <t>是否向后兼容 - 第79项</t>
        </is>
      </c>
      <c r="C83" t="inlineStr">
        <is>
          <t>安全</t>
        </is>
      </c>
      <c r="D83" t="inlineStr">
        <is>
          <t>高</t>
        </is>
      </c>
      <c r="E83" t="inlineStr">
        <is>
          <t>通过</t>
        </is>
      </c>
      <c r="F83" t="inlineStr">
        <is>
          <t>王五</t>
        </is>
      </c>
      <c r="G83" t="inlineStr">
        <is>
          <t>备注 79</t>
        </is>
      </c>
    </row>
    <row r="84">
      <c r="A84" t="n">
        <v>80</v>
      </c>
      <c r="B84" t="inlineStr">
        <is>
          <t>是否校验文件类型 - 第80项</t>
        </is>
      </c>
      <c r="C84" t="inlineStr">
        <is>
          <t>性能</t>
        </is>
      </c>
      <c r="D84" t="inlineStr">
        <is>
          <t>中</t>
        </is>
      </c>
      <c r="E84" t="inlineStr">
        <is>
          <t>未通过</t>
        </is>
      </c>
      <c r="F84" t="inlineStr">
        <is>
          <t>赵六</t>
        </is>
      </c>
      <c r="G84" t="inlineStr">
        <is>
          <t>备注 80</t>
        </is>
      </c>
    </row>
    <row r="85">
      <c r="A85" t="n">
        <v>81</v>
      </c>
      <c r="B85" t="inlineStr">
        <is>
          <t>命名是否符合规范 - 第81项</t>
        </is>
      </c>
      <c r="C85" t="inlineStr">
        <is>
          <t>可维护性</t>
        </is>
      </c>
      <c r="D85" t="inlineStr">
        <is>
          <t>低</t>
        </is>
      </c>
      <c r="E85" t="inlineStr">
        <is>
          <t>待检查</t>
        </is>
      </c>
      <c r="F85" t="inlineStr">
        <is>
          <t>张三</t>
        </is>
      </c>
      <c r="G85" t="inlineStr">
        <is>
          <t>备注 81</t>
        </is>
      </c>
    </row>
    <row r="86">
      <c r="A86" t="n">
        <v>82</v>
      </c>
      <c r="B86" t="inlineStr">
        <is>
          <t>是否有 SQL 注入风险 - 第82项</t>
        </is>
      </c>
      <c r="C86" t="inlineStr">
        <is>
          <t>测试</t>
        </is>
      </c>
      <c r="D86" t="inlineStr">
        <is>
          <t>高</t>
        </is>
      </c>
      <c r="E86" t="inlineStr">
        <is>
          <t>通过</t>
        </is>
      </c>
      <c r="F86" t="inlineStr">
        <is>
          <t>李四</t>
        </is>
      </c>
      <c r="G86" t="inlineStr">
        <is>
          <t>备注 82</t>
        </is>
      </c>
    </row>
    <row r="87">
      <c r="A87" t="n">
        <v>83</v>
      </c>
      <c r="B87" t="inlineStr">
        <is>
          <t>是否处理空指针 - 第83项</t>
        </is>
      </c>
      <c r="C87" t="inlineStr">
        <is>
          <t>文档</t>
        </is>
      </c>
      <c r="D87" t="inlineStr">
        <is>
          <t>中</t>
        </is>
      </c>
      <c r="E87" t="inlineStr">
        <is>
          <t>未通过</t>
        </is>
      </c>
      <c r="F87" t="inlineStr">
        <is>
          <t>王五</t>
        </is>
      </c>
      <c r="G87" t="inlineStr">
        <is>
          <t>备注 83</t>
        </is>
      </c>
    </row>
    <row r="88">
      <c r="A88" t="n">
        <v>84</v>
      </c>
      <c r="B88" t="inlineStr">
        <is>
          <t>函数圈复杂度是否过高 - 第84项</t>
        </is>
      </c>
      <c r="C88" t="inlineStr">
        <is>
          <t>兼容性</t>
        </is>
      </c>
      <c r="D88" t="inlineStr">
        <is>
          <t>低</t>
        </is>
      </c>
      <c r="E88" t="inlineStr">
        <is>
          <t>待检查</t>
        </is>
      </c>
      <c r="F88" t="inlineStr">
        <is>
          <t>赵六</t>
        </is>
      </c>
      <c r="G88" t="inlineStr">
        <is>
          <t>备注 84</t>
        </is>
      </c>
    </row>
    <row r="89">
      <c r="A89" t="n">
        <v>85</v>
      </c>
      <c r="B89" t="inlineStr">
        <is>
          <t>是否覆盖单元测试 - 第85项</t>
        </is>
      </c>
      <c r="C89" t="inlineStr">
        <is>
          <t>代码规范</t>
        </is>
      </c>
      <c r="D89" t="inlineStr">
        <is>
          <t>高</t>
        </is>
      </c>
      <c r="E89" t="inlineStr">
        <is>
          <t>通过</t>
        </is>
      </c>
      <c r="F89" t="inlineStr">
        <is>
          <t>张三</t>
        </is>
      </c>
      <c r="G89" t="inlineStr">
        <is>
          <t>备注 85</t>
        </is>
      </c>
    </row>
    <row r="90">
      <c r="A90" t="n">
        <v>86</v>
      </c>
      <c r="B90" t="inlineStr">
        <is>
          <t>接口文档是否齐全 - 第86项</t>
        </is>
      </c>
      <c r="C90" t="inlineStr">
        <is>
          <t>安全</t>
        </is>
      </c>
      <c r="D90" t="inlineStr">
        <is>
          <t>中</t>
        </is>
      </c>
      <c r="E90" t="inlineStr">
        <is>
          <t>未通过</t>
        </is>
      </c>
      <c r="F90" t="inlineStr">
        <is>
          <t>李四</t>
        </is>
      </c>
      <c r="G90" t="inlineStr">
        <is>
          <t>备注 86</t>
        </is>
      </c>
    </row>
    <row r="91">
      <c r="A91" t="n">
        <v>87</v>
      </c>
      <c r="B91" t="inlineStr">
        <is>
          <t>是否兼容旧版本 - 第87项</t>
        </is>
      </c>
      <c r="C91" t="inlineStr">
        <is>
          <t>性能</t>
        </is>
      </c>
      <c r="D91" t="inlineStr">
        <is>
          <t>低</t>
        </is>
      </c>
      <c r="E91" t="inlineStr">
        <is>
          <t>待检查</t>
        </is>
      </c>
      <c r="F91" t="inlineStr">
        <is>
          <t>王五</t>
        </is>
      </c>
      <c r="G91" t="inlineStr">
        <is>
          <t>备注 87</t>
        </is>
      </c>
    </row>
    <row r="92">
      <c r="A92" t="n">
        <v>88</v>
      </c>
      <c r="B92" t="inlineStr">
        <is>
          <t>敏感信息是否脱敏 - 第88项</t>
        </is>
      </c>
      <c r="C92" t="inlineStr">
        <is>
          <t>可维护性</t>
        </is>
      </c>
      <c r="D92" t="inlineStr">
        <is>
          <t>高</t>
        </is>
      </c>
      <c r="E92" t="inlineStr">
        <is>
          <t>通过</t>
        </is>
      </c>
      <c r="F92" t="inlineStr">
        <is>
          <t>赵六</t>
        </is>
      </c>
      <c r="G92" t="inlineStr">
        <is>
          <t>备注 88</t>
        </is>
      </c>
    </row>
    <row r="93">
      <c r="A93" t="n">
        <v>89</v>
      </c>
      <c r="B93" t="inlineStr">
        <is>
          <t>循环是否有性能隐患 - 第89项</t>
        </is>
      </c>
      <c r="C93" t="inlineStr">
        <is>
          <t>测试</t>
        </is>
      </c>
      <c r="D93" t="inlineStr">
        <is>
          <t>中</t>
        </is>
      </c>
      <c r="E93" t="inlineStr">
        <is>
          <t>未通过</t>
        </is>
      </c>
      <c r="F93" t="inlineStr">
        <is>
          <t>张三</t>
        </is>
      </c>
      <c r="G93" t="inlineStr">
        <is>
          <t>备注 89</t>
        </is>
      </c>
    </row>
    <row r="94">
      <c r="A94" t="n">
        <v>90</v>
      </c>
      <c r="B94" t="inlineStr">
        <is>
          <t>异常是否被捕获 - 第90项</t>
        </is>
      </c>
      <c r="C94" t="inlineStr">
        <is>
          <t>文档</t>
        </is>
      </c>
      <c r="D94" t="inlineStr">
        <is>
          <t>低</t>
        </is>
      </c>
      <c r="E94" t="inlineStr">
        <is>
          <t>待检查</t>
        </is>
      </c>
      <c r="F94" t="inlineStr">
        <is>
          <t>李四</t>
        </is>
      </c>
      <c r="G94" t="inlineStr">
        <is>
          <t>备注 90</t>
        </is>
      </c>
    </row>
    <row r="95">
      <c r="A95" t="n">
        <v>91</v>
      </c>
      <c r="B95" t="inlineStr">
        <is>
          <t>日志级别是否合理 - 第91项</t>
        </is>
      </c>
      <c r="C95" t="inlineStr">
        <is>
          <t>兼容性</t>
        </is>
      </c>
      <c r="D95" t="inlineStr">
        <is>
          <t>高</t>
        </is>
      </c>
      <c r="E95" t="inlineStr">
        <is>
          <t>通过</t>
        </is>
      </c>
      <c r="F95" t="inlineStr">
        <is>
          <t>王五</t>
        </is>
      </c>
      <c r="G95" t="inlineStr">
        <is>
          <t>备注 91</t>
        </is>
      </c>
    </row>
    <row r="96">
      <c r="A96" t="n">
        <v>92</v>
      </c>
      <c r="B96" t="inlineStr">
        <is>
          <t>配置是否可外部化 - 第92项</t>
        </is>
      </c>
      <c r="C96" t="inlineStr">
        <is>
          <t>代码规范</t>
        </is>
      </c>
      <c r="D96" t="inlineStr">
        <is>
          <t>中</t>
        </is>
      </c>
      <c r="E96" t="inlineStr">
        <is>
          <t>未通过</t>
        </is>
      </c>
      <c r="F96" t="inlineStr">
        <is>
          <t>赵六</t>
        </is>
      </c>
      <c r="G96" t="inlineStr">
        <is>
          <t>备注 92</t>
        </is>
      </c>
    </row>
    <row r="97">
      <c r="A97" t="n">
        <v>93</v>
      </c>
      <c r="B97" t="inlineStr">
        <is>
          <t>是否避免魔法数字 - 第93项</t>
        </is>
      </c>
      <c r="C97" t="inlineStr">
        <is>
          <t>安全</t>
        </is>
      </c>
      <c r="D97" t="inlineStr">
        <is>
          <t>低</t>
        </is>
      </c>
      <c r="E97" t="inlineStr">
        <is>
          <t>待检查</t>
        </is>
      </c>
      <c r="F97" t="inlineStr">
        <is>
          <t>张三</t>
        </is>
      </c>
      <c r="G97" t="inlineStr">
        <is>
          <t>备注 93</t>
        </is>
      </c>
    </row>
    <row r="98">
      <c r="A98" t="n">
        <v>94</v>
      </c>
      <c r="B98" t="inlineStr">
        <is>
          <t>是否使用参数化查询 - 第94项</t>
        </is>
      </c>
      <c r="C98" t="inlineStr">
        <is>
          <t>性能</t>
        </is>
      </c>
      <c r="D98" t="inlineStr">
        <is>
          <t>高</t>
        </is>
      </c>
      <c r="E98" t="inlineStr">
        <is>
          <t>通过</t>
        </is>
      </c>
      <c r="F98" t="inlineStr">
        <is>
          <t>李四</t>
        </is>
      </c>
      <c r="G98" t="inlineStr">
        <is>
          <t>备注 94</t>
        </is>
      </c>
    </row>
    <row r="99">
      <c r="A99" t="n">
        <v>95</v>
      </c>
      <c r="B99" t="inlineStr">
        <is>
          <t>是否有内存泄漏 - 第95项</t>
        </is>
      </c>
      <c r="C99" t="inlineStr">
        <is>
          <t>可维护性</t>
        </is>
      </c>
      <c r="D99" t="inlineStr">
        <is>
          <t>中</t>
        </is>
      </c>
      <c r="E99" t="inlineStr">
        <is>
          <t>未通过</t>
        </is>
      </c>
      <c r="F99" t="inlineStr">
        <is>
          <t>王五</t>
        </is>
      </c>
      <c r="G99" t="inlineStr">
        <is>
          <t>备注 95</t>
        </is>
      </c>
    </row>
    <row r="100">
      <c r="A100" t="n">
        <v>96</v>
      </c>
      <c r="B100" t="inlineStr">
        <is>
          <t>是否限制并发数 - 第96项</t>
        </is>
      </c>
      <c r="C100" t="inlineStr">
        <is>
          <t>测试</t>
        </is>
      </c>
      <c r="D100" t="inlineStr">
        <is>
          <t>低</t>
        </is>
      </c>
      <c r="E100" t="inlineStr">
        <is>
          <t>待检查</t>
        </is>
      </c>
      <c r="F100" t="inlineStr">
        <is>
          <t>赵六</t>
        </is>
      </c>
      <c r="G100" t="inlineStr">
        <is>
          <t>备注 96</t>
        </is>
      </c>
    </row>
    <row r="101">
      <c r="A101" t="n">
        <v>97</v>
      </c>
      <c r="B101" t="inlineStr">
        <is>
          <t>测试覆盖率是否达标 - 第97项</t>
        </is>
      </c>
      <c r="C101" t="inlineStr">
        <is>
          <t>文档</t>
        </is>
      </c>
      <c r="D101" t="inlineStr">
        <is>
          <t>高</t>
        </is>
      </c>
      <c r="E101" t="inlineStr">
        <is>
          <t>通过</t>
        </is>
      </c>
      <c r="F101" t="inlineStr">
        <is>
          <t>张三</t>
        </is>
      </c>
      <c r="G101" t="inlineStr">
        <is>
          <t>备注 97</t>
        </is>
      </c>
    </row>
    <row r="102">
      <c r="A102" t="n">
        <v>98</v>
      </c>
      <c r="B102" t="inlineStr">
        <is>
          <t>README 是否更新 - 第98项</t>
        </is>
      </c>
      <c r="C102" t="inlineStr">
        <is>
          <t>兼容性</t>
        </is>
      </c>
      <c r="D102" t="inlineStr">
        <is>
          <t>中</t>
        </is>
      </c>
      <c r="E102" t="inlineStr">
        <is>
          <t>未通过</t>
        </is>
      </c>
      <c r="F102" t="inlineStr">
        <is>
          <t>李四</t>
        </is>
      </c>
      <c r="G102" t="inlineStr">
        <is>
          <t>备注 98</t>
        </is>
      </c>
    </row>
  </sheetData>
  <mergeCells count="1">
    <mergeCell ref="A1:G1"/>
  </mergeCells>
  <conditionalFormatting sqref="D5:D102">
    <cfRule type="cellIs" priority="1" operator="equal" dxfId="3">
      <formula>"高"</formula>
    </cfRule>
    <cfRule type="cellIs" priority="2" operator="equal" dxfId="4">
      <formula>"中"</formula>
    </cfRule>
    <cfRule type="cellIs" priority="3" operator="equal" dxfId="5">
      <formula>"低"</formula>
    </cfRule>
  </conditionalFormatting>
  <conditionalFormatting sqref="E5:E102">
    <cfRule type="cellIs" priority="4" operator="equal" dxfId="0">
      <formula>"通过"</formula>
    </cfRule>
    <cfRule type="cellIs" priority="5" operator="equal" dxfId="3">
      <formula>"未通过"</formula>
    </cfRule>
    <cfRule type="cellIs" priority="6" operator="equal" dxfId="2">
      <formula>"待检查"</formula>
    </cfRule>
  </conditionalFormatting>
  <dataValidations count="1">
    <dataValidation sqref="E5:E102" showDropDown="0" showInputMessage="0" showErrorMessage="0" allowBlank="1" type="list">
      <formula1>"通过,未通过,待检查"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图片与附件</t>
        </is>
      </c>
    </row>
    <row r="3">
      <c r="A3" s="2" t="inlineStr">
        <is>
          <t>1. UI 设计稿</t>
        </is>
      </c>
    </row>
    <row r="4">
      <c r="A4" s="3" t="inlineStr">
        <is>
          <t>图 1-1</t>
        </is>
      </c>
      <c r="B4" t="inlineStr">
        <is>
          <t>登录页面线框图(640x400)，包含顶部导航、登录卡片与装饰元素</t>
        </is>
      </c>
    </row>
    <row r="5">
      <c r="A5" s="3" t="inlineStr">
        <is>
          <t>图 1-2</t>
        </is>
      </c>
      <c r="B5" t="inlineStr">
        <is>
          <t>采用 1280x800 响应式断点，主色 #4472C4，辅色 #ED7D31</t>
        </is>
      </c>
    </row>
    <row r="6">
      <c r="A6" s="3" t="inlineStr">
        <is>
          <t>说明</t>
        </is>
      </c>
      <c r="B6" t="inlineStr">
        <is>
          <t>所有 UI 稿均由 PIL 自动生成，仅用于 OfficeCLI 图片解析验证</t>
        </is>
      </c>
    </row>
    <row r="7">
      <c r="A7" t="inlineStr">
        <is>
          <t>(UI 区域预留 4)</t>
        </is>
      </c>
    </row>
    <row r="8">
      <c r="A8" t="inlineStr">
        <is>
          <t>(UI 区域预留 5)</t>
        </is>
      </c>
    </row>
    <row r="9">
      <c r="A9" t="inlineStr">
        <is>
          <t>(UI 区域预留 6)</t>
        </is>
      </c>
    </row>
    <row r="10">
      <c r="A10" t="inlineStr">
        <is>
          <t>(UI 区域预留 7)</t>
        </is>
      </c>
    </row>
    <row r="11">
      <c r="A11" t="inlineStr">
        <is>
          <t>(UI 区域预留 8)</t>
        </is>
      </c>
    </row>
    <row r="12">
      <c r="A12" t="inlineStr">
        <is>
          <t>(UI 区域预留 9)</t>
        </is>
      </c>
    </row>
    <row r="13">
      <c r="A13" t="inlineStr">
        <is>
          <t>(UI 区域预留 10)</t>
        </is>
      </c>
    </row>
    <row r="14">
      <c r="A14" t="inlineStr">
        <is>
          <t>(UI 区域预留 11)</t>
        </is>
      </c>
    </row>
    <row r="15">
      <c r="A15" t="inlineStr">
        <is>
          <t>(UI 区域预留 12)</t>
        </is>
      </c>
    </row>
    <row r="16">
      <c r="A16" t="inlineStr">
        <is>
          <t>(UI 区域预留 13)</t>
        </is>
      </c>
    </row>
    <row r="17">
      <c r="A17" t="inlineStr">
        <is>
          <t>(UI 区域预留 14)</t>
        </is>
      </c>
    </row>
    <row r="18">
      <c r="A18" t="inlineStr">
        <is>
          <t>(UI 区域预留 15)</t>
        </is>
      </c>
    </row>
    <row r="19">
      <c r="A19" t="inlineStr">
        <is>
          <t>(UI 区域预留 16)</t>
        </is>
      </c>
    </row>
    <row r="20">
      <c r="A20" t="inlineStr">
        <is>
          <t>(UI 区域预留 17)</t>
        </is>
      </c>
    </row>
    <row r="21">
      <c r="A21" t="inlineStr">
        <is>
          <t>(UI 区域预留 18)</t>
        </is>
      </c>
    </row>
    <row r="22">
      <c r="A22" t="inlineStr">
        <is>
          <t>(UI 区域预留 19)</t>
        </is>
      </c>
    </row>
    <row r="23">
      <c r="A23" t="inlineStr">
        <is>
          <t>(UI 区域预留 20)</t>
        </is>
      </c>
    </row>
    <row r="24">
      <c r="A24" t="inlineStr">
        <is>
          <t>(UI 区域预留 21)</t>
        </is>
      </c>
    </row>
    <row r="25">
      <c r="A25" t="inlineStr">
        <is>
          <t>(UI 区域预留 22)</t>
        </is>
      </c>
    </row>
    <row r="26">
      <c r="A26" t="inlineStr">
        <is>
          <t>(UI 区域预留 23)</t>
        </is>
      </c>
    </row>
    <row r="27">
      <c r="A27" t="inlineStr">
        <is>
          <t>(UI 区域预留 24)</t>
        </is>
      </c>
    </row>
    <row r="28">
      <c r="A28" t="inlineStr">
        <is>
          <t>(UI 区域预留 25)</t>
        </is>
      </c>
    </row>
    <row r="29">
      <c r="A29" t="inlineStr">
        <is>
          <t>(UI 区域预留 26)</t>
        </is>
      </c>
    </row>
    <row r="30">
      <c r="A30" t="inlineStr">
        <is>
          <t>(UI 区域预留 27)</t>
        </is>
      </c>
    </row>
    <row r="32">
      <c r="A32" s="2" t="inlineStr">
        <is>
          <t>2. 架构图</t>
        </is>
      </c>
    </row>
    <row r="33">
      <c r="A33" s="3" t="inlineStr">
        <is>
          <t>图 2-1</t>
        </is>
      </c>
      <c r="B33" t="inlineStr">
        <is>
          <t>系统分层架构图：表现层、业务层、数据层、基础设施层</t>
        </is>
      </c>
    </row>
    <row r="34">
      <c r="A34" s="3" t="inlineStr">
        <is>
          <t>图 2-2</t>
        </is>
      </c>
      <c r="B34" t="inlineStr">
        <is>
          <t>组件间通过标准接口通信，支持水平扩展</t>
        </is>
      </c>
    </row>
    <row r="35">
      <c r="A35" s="3" t="inlineStr">
        <is>
          <t>说明</t>
        </is>
      </c>
      <c r="B35" t="inlineStr">
        <is>
          <t>架构图用于验证 Excel 中嵌入图片的解析与导出能力</t>
        </is>
      </c>
    </row>
    <row r="36">
      <c r="A36" s="3" t="inlineStr">
        <is>
          <t>依赖</t>
        </is>
      </c>
      <c r="B36" t="inlineStr">
        <is>
          <t>前端 -&gt; 网关 -&gt; 服务 -&gt; 缓存 -&gt; 数据库</t>
        </is>
      </c>
    </row>
    <row r="37">
      <c r="A37" s="3" t="inlineStr">
        <is>
          <t>扩展</t>
        </is>
      </c>
      <c r="B37" t="inlineStr">
        <is>
          <t>支持多副本部署，无状态服务可横向扩展</t>
        </is>
      </c>
    </row>
    <row r="38">
      <c r="A38" t="inlineStr">
        <is>
          <t>(架构图区域预留 6)</t>
        </is>
      </c>
    </row>
    <row r="39">
      <c r="A39" t="inlineStr">
        <is>
          <t>(架构图区域预留 7)</t>
        </is>
      </c>
    </row>
    <row r="40">
      <c r="A40" t="inlineStr">
        <is>
          <t>(架构图区域预留 8)</t>
        </is>
      </c>
    </row>
    <row r="41">
      <c r="A41" t="inlineStr">
        <is>
          <t>(架构图区域预留 9)</t>
        </is>
      </c>
    </row>
    <row r="42">
      <c r="A42" t="inlineStr">
        <is>
          <t>(架构图区域预留 10)</t>
        </is>
      </c>
    </row>
    <row r="43">
      <c r="A43" t="inlineStr">
        <is>
          <t>(架构图区域预留 11)</t>
        </is>
      </c>
    </row>
    <row r="44">
      <c r="A44" t="inlineStr">
        <is>
          <t>(架构图区域预留 12)</t>
        </is>
      </c>
    </row>
    <row r="45">
      <c r="A45" t="inlineStr">
        <is>
          <t>(架构图区域预留 13)</t>
        </is>
      </c>
    </row>
    <row r="46">
      <c r="A46" t="inlineStr">
        <is>
          <t>(架构图区域预留 14)</t>
        </is>
      </c>
    </row>
    <row r="47">
      <c r="A47" t="inlineStr">
        <is>
          <t>(架构图区域预留 15)</t>
        </is>
      </c>
    </row>
    <row r="48">
      <c r="A48" t="inlineStr">
        <is>
          <t>(架构图区域预留 16)</t>
        </is>
      </c>
    </row>
    <row r="49">
      <c r="A49" t="inlineStr">
        <is>
          <t>(架构图区域预留 17)</t>
        </is>
      </c>
    </row>
    <row r="50">
      <c r="A50" t="inlineStr">
        <is>
          <t>(架构图区域预留 18)</t>
        </is>
      </c>
    </row>
    <row r="51">
      <c r="A51" t="inlineStr">
        <is>
          <t>(架构图区域预留 19)</t>
        </is>
      </c>
    </row>
    <row r="52">
      <c r="A52" t="inlineStr">
        <is>
          <t>(架构图区域预留 20)</t>
        </is>
      </c>
    </row>
    <row r="53">
      <c r="A53" t="inlineStr">
        <is>
          <t>(架构图区域预留 21)</t>
        </is>
      </c>
    </row>
    <row r="54">
      <c r="A54" t="inlineStr">
        <is>
          <t>(架构图区域预留 22)</t>
        </is>
      </c>
    </row>
    <row r="55">
      <c r="A55" t="inlineStr">
        <is>
          <t>(架构图区域预留 23)</t>
        </is>
      </c>
    </row>
    <row r="56">
      <c r="A56" t="inlineStr">
        <is>
          <t>(架构图区域预留 24)</t>
        </is>
      </c>
    </row>
    <row r="57">
      <c r="A57" t="inlineStr">
        <is>
          <t>(架构图区域预留 25)</t>
        </is>
      </c>
    </row>
    <row r="58">
      <c r="A58" t="inlineStr">
        <is>
          <t>(架构图区域预留 26)</t>
        </is>
      </c>
    </row>
    <row r="59">
      <c r="A59" t="inlineStr">
        <is>
          <t>(架构图区域预留 27)</t>
        </is>
      </c>
    </row>
    <row r="60">
      <c r="A60" t="inlineStr">
        <is>
          <t>(架构图区域预留 28)</t>
        </is>
      </c>
    </row>
    <row r="62">
      <c r="A62" s="2" t="inlineStr">
        <is>
          <t>3. 流程图</t>
        </is>
      </c>
    </row>
    <row r="63">
      <c r="A63" s="3" t="inlineStr">
        <is>
          <t>图 3-1</t>
        </is>
      </c>
      <c r="B63" t="inlineStr">
        <is>
          <t>用户操作流程：开始 -&gt; 判断 -&gt; 处理 -&gt; 结束</t>
        </is>
      </c>
    </row>
    <row r="64">
      <c r="A64" s="3" t="inlineStr">
        <is>
          <t>图 3-2</t>
        </is>
      </c>
      <c r="B64" t="inlineStr">
        <is>
          <t>包含菱形判断节点与矩形处理节点</t>
        </is>
      </c>
    </row>
    <row r="65">
      <c r="A65" s="3" t="inlineStr">
        <is>
          <t>说明</t>
        </is>
      </c>
      <c r="B65" t="inlineStr">
        <is>
          <t>流程图用于验证图形元素在 Excel 中的呈现</t>
        </is>
      </c>
    </row>
    <row r="66">
      <c r="A66" s="3" t="inlineStr">
        <is>
          <t>步骤1</t>
        </is>
      </c>
      <c r="B66" t="inlineStr">
        <is>
          <t>用户发起请求</t>
        </is>
      </c>
    </row>
    <row r="67">
      <c r="A67" s="3" t="inlineStr">
        <is>
          <t>步骤2</t>
        </is>
      </c>
      <c r="B67" t="inlineStr">
        <is>
          <t>系统校验权限</t>
        </is>
      </c>
    </row>
    <row r="68">
      <c r="A68" s="3" t="inlineStr">
        <is>
          <t>步骤3</t>
        </is>
      </c>
      <c r="B68" t="inlineStr">
        <is>
          <t>执行业务逻辑</t>
        </is>
      </c>
    </row>
    <row r="69">
      <c r="A69" s="3" t="inlineStr">
        <is>
          <t>步骤4</t>
        </is>
      </c>
      <c r="B69" t="inlineStr">
        <is>
          <t>返回结果</t>
        </is>
      </c>
    </row>
    <row r="70">
      <c r="A70" t="inlineStr">
        <is>
          <t>(流程图区域预留 8)</t>
        </is>
      </c>
    </row>
    <row r="71">
      <c r="A71" t="inlineStr">
        <is>
          <t>(流程图区域预留 9)</t>
        </is>
      </c>
    </row>
    <row r="72">
      <c r="A72" t="inlineStr">
        <is>
          <t>(流程图区域预留 10)</t>
        </is>
      </c>
    </row>
    <row r="73">
      <c r="A73" t="inlineStr">
        <is>
          <t>(流程图区域预留 11)</t>
        </is>
      </c>
    </row>
    <row r="74">
      <c r="A74" t="inlineStr">
        <is>
          <t>(流程图区域预留 12)</t>
        </is>
      </c>
    </row>
    <row r="75">
      <c r="A75" t="inlineStr">
        <is>
          <t>(流程图区域预留 13)</t>
        </is>
      </c>
    </row>
    <row r="76">
      <c r="A76" t="inlineStr">
        <is>
          <t>(流程图区域预留 14)</t>
        </is>
      </c>
    </row>
    <row r="77">
      <c r="A77" t="inlineStr">
        <is>
          <t>(流程图区域预留 15)</t>
        </is>
      </c>
    </row>
    <row r="78">
      <c r="A78" t="inlineStr">
        <is>
          <t>(流程图区域预留 16)</t>
        </is>
      </c>
    </row>
    <row r="79">
      <c r="A79" t="inlineStr">
        <is>
          <t>(流程图区域预留 17)</t>
        </is>
      </c>
    </row>
    <row r="80">
      <c r="A80" t="inlineStr">
        <is>
          <t>(流程图区域预留 18)</t>
        </is>
      </c>
    </row>
    <row r="81">
      <c r="A81" t="inlineStr">
        <is>
          <t>(流程图区域预留 19)</t>
        </is>
      </c>
    </row>
    <row r="82">
      <c r="A82" t="inlineStr">
        <is>
          <t>(流程图区域预留 20)</t>
        </is>
      </c>
    </row>
    <row r="83">
      <c r="A83" t="inlineStr">
        <is>
          <t>(流程图区域预留 21)</t>
        </is>
      </c>
    </row>
    <row r="84">
      <c r="A84" t="inlineStr">
        <is>
          <t>(流程图区域预留 22)</t>
        </is>
      </c>
    </row>
    <row r="85">
      <c r="A85" t="inlineStr">
        <is>
          <t>(流程图区域预留 23)</t>
        </is>
      </c>
    </row>
    <row r="86">
      <c r="A86" t="inlineStr">
        <is>
          <t>(流程图区域预留 24)</t>
        </is>
      </c>
    </row>
    <row r="87">
      <c r="A87" t="inlineStr">
        <is>
          <t>(流程图区域预留 25)</t>
        </is>
      </c>
    </row>
    <row r="88">
      <c r="A88" t="inlineStr">
        <is>
          <t>(流程图区域预留 26)</t>
        </is>
      </c>
    </row>
    <row r="89">
      <c r="A89" t="inlineStr">
        <is>
          <t>(流程图区域预留 27)</t>
        </is>
      </c>
    </row>
    <row r="90">
      <c r="A90" t="inlineStr">
        <is>
          <t>(流程图区域预留 28)</t>
        </is>
      </c>
    </row>
    <row r="91">
      <c r="A91" t="inlineStr">
        <is>
          <t>(流程图区域预留 29)</t>
        </is>
      </c>
    </row>
    <row r="92">
      <c r="A92" t="inlineStr">
        <is>
          <t>(流程图区域预留 30)</t>
        </is>
      </c>
    </row>
    <row r="93">
      <c r="A93" t="inlineStr">
        <is>
          <t>(流程图区域预留 31)</t>
        </is>
      </c>
    </row>
    <row r="94">
      <c r="A94" t="inlineStr">
        <is>
          <t>(流程图区域预留 32)</t>
        </is>
      </c>
    </row>
    <row r="95">
      <c r="A95" t="inlineStr">
        <is>
          <t>(流程图区域预留 33)</t>
        </is>
      </c>
    </row>
    <row r="96">
      <c r="A96" t="inlineStr">
        <is>
          <t>(流程图区域预留 34)</t>
        </is>
      </c>
    </row>
    <row r="97">
      <c r="A97" t="inlineStr">
        <is>
          <t>(流程图区域预留 35)</t>
        </is>
      </c>
    </row>
    <row r="98">
      <c r="A98" t="inlineStr">
        <is>
          <t>(流程图区域预留 36)</t>
        </is>
      </c>
    </row>
    <row r="99">
      <c r="A99" t="inlineStr">
        <is>
          <t>(流程图区域预留 37)</t>
        </is>
      </c>
    </row>
    <row r="100">
      <c r="A100" t="inlineStr">
        <is>
          <t>(流程图区域预留 38)</t>
        </is>
      </c>
    </row>
    <row r="101">
      <c r="A101" t="inlineStr">
        <is>
          <t>(流程图区域预留 39)</t>
        </is>
      </c>
    </row>
    <row r="102">
      <c r="A102" t="inlineStr">
        <is>
          <t>(流程图区域预留 40)</t>
        </is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2026-08-10T07:19:22Z</dcterms:created>
  <dcterms:modified xsi:type="dcterms:W3CDTF">2026-08-10T07:19:22Z</dcterms:modified>
</cp:coreProperties>
</file>